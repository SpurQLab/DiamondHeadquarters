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E947747CFB488CA8674612845F99A651EDE64AA6"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<sst xmlns="http://schemas.openxmlformats.org/spreadsheetml/2006/main" count="1653" uniqueCount="886">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</sst>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1.6854879487611663</v>
      </c>
      <c r="L4" s="221" t="s">
        <v>4</v>
      </c>
      <c r="M4" s="362">
        <f>E5*15/100</f>
        <v>0.52349999999999997</v>
      </c>
      <c r="P4" s="219"/>
      <c r="Q4" s="219"/>
      <c r="R4" s="219"/>
      <c r="S4" s="219"/>
    </row>
    <row r="5" spans="3:19" ht="15.75" customHeight="1" thickBot="1">
      <c r="C5" s="473" t="s">
        <v>5</v>
      </c>
      <c r="D5" s="367" t="s">
        <v>6</v>
      </c>
      <c r="E5" s="368">
        <v>3.49</v>
      </c>
      <c r="F5" s="367" t="s">
        <v>7</v>
      </c>
      <c r="G5" s="369">
        <f>E6-M5</f>
        <v>2.6105200000000002</v>
      </c>
      <c r="H5" s="477" t="s">
        <v>8</v>
      </c>
      <c r="J5" s="365" t="s">
        <v>9</v>
      </c>
      <c r="K5" s="366">
        <f>H38/E6</f>
        <v>7.8880836002022572E-2</v>
      </c>
      <c r="L5" s="221" t="s">
        <v>10</v>
      </c>
      <c r="M5" s="362">
        <f>E6*12/100</f>
        <v>0.35598000000000007</v>
      </c>
      <c r="P5" s="474" t="s">
        <v>11</v>
      </c>
      <c r="Q5" s="475"/>
      <c r="R5" s="475"/>
      <c r="S5" s="476"/>
    </row>
    <row r="6" spans="3:19" ht="15.75" customHeight="1" thickBot="1">
      <c r="C6" s="630"/>
      <c r="D6" s="370" t="s">
        <v>12</v>
      </c>
      <c r="E6" s="371">
        <f>E5-M4</f>
        <v>2.9665000000000004</v>
      </c>
      <c r="F6" s="367" t="s">
        <v>13</v>
      </c>
      <c r="G6" s="369">
        <f>G5-M6</f>
        <v>2.2972576</v>
      </c>
      <c r="H6" s="478"/>
      <c r="L6" s="221" t="s">
        <v>14</v>
      </c>
      <c r="M6" s="363">
        <f>G5*12/100</f>
        <v>0.3132624</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0" t="s">
        <v>28</v>
      </c>
      <c r="F2" s="500"/>
      <c r="G2" s="500"/>
      <c r="H2" s="500"/>
      <c r="I2" s="500"/>
      <c r="J2" s="500"/>
      <c r="K2" s="500"/>
      <c r="L2" s="500"/>
      <c r="M2" s="500"/>
      <c r="N2" s="500"/>
      <c r="O2" s="500"/>
      <c r="P2" s="500"/>
      <c r="Q2" s="500"/>
      <c r="R2" s="500"/>
      <c r="S2" s="500"/>
      <c r="T2" s="500"/>
      <c r="U2" s="500"/>
      <c r="V2" s="500"/>
      <c r="W2" s="501"/>
    </row>
    <row r="3" spans="1:23" ht="15.75" customHeight="1" thickBot="1">
      <c r="B3" s="226" t="s">
        <v>29</v>
      </c>
      <c r="C3" s="227"/>
      <c r="D3" s="227"/>
      <c r="E3" s="502"/>
      <c r="F3" s="502"/>
      <c r="G3" s="502"/>
      <c r="H3" s="502"/>
      <c r="I3" s="502"/>
      <c r="J3" s="502"/>
      <c r="K3" s="502"/>
      <c r="L3" s="502"/>
      <c r="M3" s="502"/>
      <c r="N3" s="502"/>
      <c r="O3" s="502"/>
      <c r="P3" s="502"/>
      <c r="Q3" s="502"/>
      <c r="R3" s="502"/>
      <c r="S3" s="502"/>
      <c r="T3" s="502"/>
      <c r="U3" s="502"/>
      <c r="V3" s="502"/>
      <c r="W3" s="503"/>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4" t="s">
        <v>32</v>
      </c>
      <c r="E5" s="505"/>
      <c r="F5" s="234">
        <f>K64</f>
        <v>0</v>
      </c>
      <c r="H5" s="232"/>
      <c r="I5" s="232"/>
      <c r="J5" s="232"/>
      <c r="K5" s="232"/>
      <c r="M5" s="232"/>
      <c r="N5" s="232"/>
      <c r="O5" s="232"/>
      <c r="P5" s="232"/>
      <c r="Q5" s="232"/>
      <c r="S5" s="235"/>
      <c r="T5" s="232"/>
      <c r="U5" s="232"/>
      <c r="V5" s="232"/>
      <c r="W5" s="232"/>
    </row>
    <row r="6" spans="1:23" ht="15.75" customHeight="1" thickBot="1">
      <c r="B6" s="506" t="s">
        <v>33</v>
      </c>
      <c r="C6" s="507"/>
      <c r="D6" s="507"/>
      <c r="E6" s="507"/>
      <c r="F6" s="508"/>
      <c r="H6" s="509" t="s">
        <v>34</v>
      </c>
      <c r="I6" s="510"/>
      <c r="J6" s="510"/>
      <c r="K6" s="511"/>
      <c r="M6" s="509" t="s">
        <v>35</v>
      </c>
      <c r="N6" s="510"/>
      <c r="O6" s="510"/>
      <c r="P6" s="510"/>
      <c r="Q6" s="511"/>
      <c r="S6" s="509" t="s">
        <v>36</v>
      </c>
      <c r="T6" s="510"/>
      <c r="U6" s="510"/>
      <c r="V6" s="510"/>
      <c r="W6" s="51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12" t="s">
        <v>36</v>
      </c>
      <c r="T36" s="513"/>
      <c r="U36" s="514"/>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490" t="s">
        <v>107</v>
      </c>
      <c r="T38" s="491"/>
      <c r="U38" s="491"/>
      <c r="V38" s="491"/>
      <c r="W38" s="492"/>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512" t="s">
        <v>129</v>
      </c>
      <c r="I46" s="514"/>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15" t="s">
        <v>152</v>
      </c>
      <c r="I56" s="51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16" t="s">
        <v>33</v>
      </c>
      <c r="I57" s="51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8" t="s">
        <v>129</v>
      </c>
      <c r="I58" s="489"/>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8" t="s">
        <v>35</v>
      </c>
      <c r="I59" s="489"/>
      <c r="J59" s="266">
        <f>P64</f>
        <v>0</v>
      </c>
      <c r="K59" s="121">
        <f>Q64</f>
        <v>0</v>
      </c>
      <c r="M59" s="45" t="s">
        <v>40</v>
      </c>
      <c r="N59" s="1">
        <v>12</v>
      </c>
      <c r="O59" s="1">
        <v>10.35</v>
      </c>
      <c r="P59" s="55"/>
      <c r="Q59" s="44">
        <f t="shared" si="2"/>
        <v>0</v>
      </c>
      <c r="S59" s="487" t="s">
        <v>107</v>
      </c>
      <c r="T59" s="487"/>
      <c r="U59" s="487"/>
      <c r="V59" s="267">
        <f>SUM(V40:V58)</f>
        <v>0</v>
      </c>
      <c r="W59" s="83">
        <f>SUM(W40:W58)</f>
        <v>0</v>
      </c>
    </row>
    <row r="60" spans="1:23" ht="15.75" customHeight="1" thickBot="1">
      <c r="A60" s="243"/>
      <c r="B60" s="45" t="s">
        <v>149</v>
      </c>
      <c r="C60" s="4">
        <v>5.3</v>
      </c>
      <c r="D60" s="1">
        <v>0.63</v>
      </c>
      <c r="E60" s="55"/>
      <c r="F60" s="56">
        <f t="shared" si="4"/>
        <v>0</v>
      </c>
      <c r="H60" s="488" t="s">
        <v>36</v>
      </c>
      <c r="I60" s="489"/>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8" t="s">
        <v>156</v>
      </c>
      <c r="I61" s="489"/>
      <c r="J61" s="79">
        <f>V59</f>
        <v>0</v>
      </c>
      <c r="K61" s="121">
        <f>W59</f>
        <v>0</v>
      </c>
      <c r="M61" s="45" t="s">
        <v>40</v>
      </c>
      <c r="N61" s="1">
        <v>14</v>
      </c>
      <c r="O61" s="1">
        <v>16.5</v>
      </c>
      <c r="P61" s="55"/>
      <c r="Q61" s="44">
        <f t="shared" si="2"/>
        <v>0</v>
      </c>
      <c r="T61" s="490" t="s">
        <v>157</v>
      </c>
      <c r="U61" s="491"/>
      <c r="V61" s="491"/>
      <c r="W61" s="492"/>
    </row>
    <row r="62" spans="1:23" ht="15.75" customHeight="1" thickBot="1">
      <c r="A62" s="248"/>
      <c r="B62" s="45" t="s">
        <v>149</v>
      </c>
      <c r="C62" s="1">
        <v>5.5</v>
      </c>
      <c r="D62" s="1">
        <v>0.67</v>
      </c>
      <c r="E62" s="55"/>
      <c r="F62" s="56">
        <f t="shared" si="4"/>
        <v>0</v>
      </c>
      <c r="H62" s="488" t="s">
        <v>157</v>
      </c>
      <c r="I62" s="489"/>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493" t="s">
        <v>158</v>
      </c>
      <c r="I63" s="494"/>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495" t="s">
        <v>32</v>
      </c>
      <c r="I64" s="495"/>
      <c r="J64" s="271">
        <f>SUM(J57:J63)</f>
        <v>0</v>
      </c>
      <c r="K64" s="272">
        <f>SUM(K57:K63)</f>
        <v>0</v>
      </c>
      <c r="M64" s="496" t="s">
        <v>35</v>
      </c>
      <c r="N64" s="496"/>
      <c r="O64" s="496"/>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497" t="s">
        <v>158</v>
      </c>
      <c r="O66" s="498"/>
      <c r="P66" s="498"/>
      <c r="Q66" s="499"/>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487" t="s">
        <v>157</v>
      </c>
      <c r="U83" s="487"/>
      <c r="V83" s="260">
        <f>SUM(V64:V82)</f>
        <v>0</v>
      </c>
      <c r="W83" s="125">
        <f>SUM(W64:W82)</f>
        <v>0</v>
      </c>
    </row>
    <row r="84" spans="2:23" ht="15.75" customHeight="1" thickBot="1">
      <c r="B84" s="45" t="s">
        <v>149</v>
      </c>
      <c r="C84" s="1">
        <v>9.8000000000000007</v>
      </c>
      <c r="D84" s="1">
        <v>3.35</v>
      </c>
      <c r="E84" s="55"/>
      <c r="F84" s="123">
        <f t="shared" si="4"/>
        <v>0</v>
      </c>
      <c r="M84" s="273"/>
      <c r="N84" s="487" t="s">
        <v>158</v>
      </c>
      <c r="O84" s="487"/>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485" t="s">
        <v>33</v>
      </c>
      <c r="C103" s="485"/>
      <c r="D103" s="48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0" t="s">
        <v>28</v>
      </c>
      <c r="F2" s="520"/>
      <c r="G2" s="520"/>
      <c r="H2" s="520"/>
      <c r="I2" s="520"/>
      <c r="J2" s="520"/>
      <c r="K2" s="520"/>
      <c r="L2" s="520"/>
      <c r="M2" s="520"/>
      <c r="N2" s="520"/>
      <c r="O2" s="520"/>
      <c r="P2" s="520"/>
      <c r="Q2" s="520"/>
      <c r="R2" s="520"/>
      <c r="S2" s="520"/>
      <c r="T2" s="520"/>
      <c r="U2" s="520"/>
      <c r="V2" s="520"/>
      <c r="W2" s="521"/>
    </row>
    <row r="3" spans="1:23" ht="15.75" customHeight="1" thickBot="1">
      <c r="B3" s="12" t="s">
        <v>179</v>
      </c>
      <c r="C3" s="13"/>
      <c r="D3" s="13"/>
      <c r="E3" s="522"/>
      <c r="F3" s="522"/>
      <c r="G3" s="522"/>
      <c r="H3" s="522"/>
      <c r="I3" s="522"/>
      <c r="J3" s="522"/>
      <c r="K3" s="522"/>
      <c r="L3" s="522"/>
      <c r="M3" s="522"/>
      <c r="N3" s="522"/>
      <c r="O3" s="522"/>
      <c r="P3" s="522"/>
      <c r="Q3" s="522"/>
      <c r="R3" s="522"/>
      <c r="S3" s="522"/>
      <c r="T3" s="522"/>
      <c r="U3" s="522"/>
      <c r="V3" s="522"/>
      <c r="W3" s="523"/>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4" t="s">
        <v>32</v>
      </c>
      <c r="E5" s="525"/>
      <c r="F5" s="22">
        <f>K64</f>
        <v>0</v>
      </c>
      <c r="H5" s="20"/>
      <c r="I5" s="20"/>
      <c r="J5" s="20"/>
      <c r="K5" s="20"/>
      <c r="M5" s="20"/>
      <c r="N5" s="20"/>
      <c r="O5" s="20"/>
      <c r="P5" s="20"/>
      <c r="Q5" s="20"/>
      <c r="S5" s="23"/>
      <c r="T5" s="20"/>
      <c r="U5" s="20"/>
      <c r="V5" s="20"/>
      <c r="W5" s="20"/>
    </row>
    <row r="6" spans="1:23" ht="15.75" customHeight="1" thickBot="1">
      <c r="B6" s="506" t="s">
        <v>33</v>
      </c>
      <c r="C6" s="507"/>
      <c r="D6" s="507"/>
      <c r="E6" s="507"/>
      <c r="F6" s="508"/>
      <c r="H6" s="509" t="s">
        <v>129</v>
      </c>
      <c r="I6" s="510"/>
      <c r="J6" s="510"/>
      <c r="K6" s="511"/>
      <c r="M6" s="509" t="s">
        <v>35</v>
      </c>
      <c r="N6" s="510"/>
      <c r="O6" s="510"/>
      <c r="P6" s="510"/>
      <c r="Q6" s="511"/>
      <c r="S6" s="509" t="s">
        <v>36</v>
      </c>
      <c r="T6" s="510"/>
      <c r="U6" s="510"/>
      <c r="V6" s="510"/>
      <c r="W6" s="51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512" t="s">
        <v>36</v>
      </c>
      <c r="T36" s="513"/>
      <c r="U36" s="514"/>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490" t="s">
        <v>107</v>
      </c>
      <c r="T38" s="491"/>
      <c r="U38" s="491"/>
      <c r="V38" s="491"/>
      <c r="W38" s="492"/>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512" t="s">
        <v>129</v>
      </c>
      <c r="I46" s="514"/>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26" t="s">
        <v>152</v>
      </c>
      <c r="I56" s="526"/>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27" t="s">
        <v>33</v>
      </c>
      <c r="I57" s="528"/>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18" t="s">
        <v>129</v>
      </c>
      <c r="I58" s="519"/>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18" t="s">
        <v>35</v>
      </c>
      <c r="I59" s="519"/>
      <c r="J59" s="101">
        <f>P64</f>
        <v>0</v>
      </c>
      <c r="K59" s="102">
        <f>Q64</f>
        <v>0</v>
      </c>
      <c r="M59" s="45" t="s">
        <v>149</v>
      </c>
      <c r="N59" s="1">
        <v>12</v>
      </c>
      <c r="O59" s="1">
        <v>10.35</v>
      </c>
      <c r="P59" s="59"/>
      <c r="Q59" s="44">
        <f t="shared" si="2"/>
        <v>0</v>
      </c>
      <c r="S59" s="529" t="s">
        <v>107</v>
      </c>
      <c r="T59" s="529"/>
      <c r="U59" s="529"/>
      <c r="V59" s="215">
        <f>SUM(V40:V58)</f>
        <v>0</v>
      </c>
      <c r="W59" s="83">
        <f>SUM(W40:W58)</f>
        <v>0</v>
      </c>
    </row>
    <row r="60" spans="1:23" ht="15.75" customHeight="1" thickBot="1">
      <c r="A60" s="53"/>
      <c r="B60" s="45" t="s">
        <v>149</v>
      </c>
      <c r="C60" s="4">
        <v>5.3</v>
      </c>
      <c r="D60" s="1">
        <v>0.63</v>
      </c>
      <c r="E60" s="3"/>
      <c r="F60" s="56">
        <f t="shared" si="4"/>
        <v>0</v>
      </c>
      <c r="H60" s="518" t="s">
        <v>36</v>
      </c>
      <c r="I60" s="519"/>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18" t="s">
        <v>156</v>
      </c>
      <c r="I61" s="519"/>
      <c r="J61" s="57">
        <f>V59</f>
        <v>0</v>
      </c>
      <c r="K61" s="102">
        <f>W59</f>
        <v>0</v>
      </c>
      <c r="M61" s="45" t="s">
        <v>149</v>
      </c>
      <c r="N61" s="1">
        <v>14</v>
      </c>
      <c r="O61" s="1">
        <v>16.5</v>
      </c>
      <c r="P61" s="59"/>
      <c r="Q61" s="44">
        <f t="shared" si="2"/>
        <v>0</v>
      </c>
      <c r="T61" s="490" t="s">
        <v>157</v>
      </c>
      <c r="U61" s="491"/>
      <c r="V61" s="491"/>
      <c r="W61" s="492"/>
    </row>
    <row r="62" spans="1:23" ht="15.75" customHeight="1" thickBot="1">
      <c r="A62" s="64"/>
      <c r="B62" s="45" t="s">
        <v>149</v>
      </c>
      <c r="C62" s="1">
        <v>5.5</v>
      </c>
      <c r="D62" s="1">
        <v>0.67</v>
      </c>
      <c r="E62" s="3"/>
      <c r="F62" s="56">
        <f t="shared" si="4"/>
        <v>0</v>
      </c>
      <c r="H62" s="518" t="s">
        <v>157</v>
      </c>
      <c r="I62" s="519"/>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30" t="s">
        <v>158</v>
      </c>
      <c r="I63" s="531"/>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32" t="s">
        <v>32</v>
      </c>
      <c r="I64" s="532"/>
      <c r="J64" s="109">
        <f>SUM(J57:J63)</f>
        <v>0</v>
      </c>
      <c r="K64" s="110">
        <f>SUM(K57:K63)</f>
        <v>0</v>
      </c>
      <c r="M64" s="496" t="s">
        <v>35</v>
      </c>
      <c r="N64" s="496"/>
      <c r="O64" s="496"/>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497" t="s">
        <v>158</v>
      </c>
      <c r="O66" s="498"/>
      <c r="P66" s="498"/>
      <c r="Q66" s="499"/>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9" t="s">
        <v>157</v>
      </c>
      <c r="U82" s="529"/>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9" t="s">
        <v>158</v>
      </c>
      <c r="O84" s="529"/>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485" t="s">
        <v>33</v>
      </c>
      <c r="C103" s="485"/>
      <c r="D103" s="48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9" t="s">
        <v>36</v>
      </c>
      <c r="B1" s="540"/>
      <c r="D1" s="533" t="s">
        <v>107</v>
      </c>
      <c r="E1" s="534"/>
      <c r="G1" s="533" t="s">
        <v>157</v>
      </c>
      <c r="H1" s="534"/>
      <c r="J1" s="533" t="s">
        <v>33</v>
      </c>
      <c r="K1" s="534"/>
      <c r="M1" s="533" t="s">
        <v>158</v>
      </c>
      <c r="N1" s="534"/>
      <c r="P1" s="533" t="s">
        <v>389</v>
      </c>
      <c r="R1" s="537" t="s">
        <v>35</v>
      </c>
    </row>
    <row r="2" spans="1:18" ht="15.75" thickBot="1">
      <c r="A2" s="541"/>
      <c r="B2" s="542"/>
      <c r="D2" s="535"/>
      <c r="E2" s="536"/>
      <c r="G2" s="535"/>
      <c r="H2" s="536"/>
      <c r="J2" s="535"/>
      <c r="K2" s="536"/>
      <c r="M2" s="535"/>
      <c r="N2" s="536"/>
      <c r="P2" s="535"/>
      <c r="R2" s="538"/>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7" t="s">
        <v>404</v>
      </c>
      <c r="C19" s="537" t="s">
        <v>405</v>
      </c>
      <c r="E19" s="537" t="s">
        <v>406</v>
      </c>
      <c r="G19" s="533" t="s">
        <v>407</v>
      </c>
    </row>
    <row r="20" spans="1:7" ht="15.75" thickBot="1">
      <c r="A20" s="538"/>
      <c r="C20" s="538"/>
      <c r="E20" s="538"/>
      <c r="G20" s="535"/>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2" t="s">
        <v>646</v>
      </c>
      <c r="C3" s="560" t="s">
        <v>647</v>
      </c>
      <c r="E3" s="202" t="s">
        <v>33</v>
      </c>
      <c r="F3" s="202" t="s">
        <v>25</v>
      </c>
      <c r="H3" s="199" t="s">
        <v>648</v>
      </c>
      <c r="I3" s="199" t="s">
        <v>649</v>
      </c>
      <c r="K3" s="199" t="s">
        <v>650</v>
      </c>
      <c r="L3" s="199" t="s">
        <v>650</v>
      </c>
      <c r="N3" s="199" t="s">
        <v>651</v>
      </c>
      <c r="O3" s="200" t="s">
        <v>652</v>
      </c>
      <c r="Q3" s="217" t="s">
        <v>653</v>
      </c>
      <c r="R3" s="218" t="s">
        <v>654</v>
      </c>
    </row>
    <row r="4" spans="2:18" ht="21">
      <c r="B4" s="560"/>
      <c r="C4" s="560"/>
      <c r="E4" s="202" t="s">
        <v>157</v>
      </c>
      <c r="F4" s="202" t="s">
        <v>655</v>
      </c>
      <c r="H4" s="199" t="s">
        <v>656</v>
      </c>
      <c r="I4" s="199" t="s">
        <v>657</v>
      </c>
      <c r="K4" s="199" t="s">
        <v>658</v>
      </c>
      <c r="L4" s="199" t="s">
        <v>659</v>
      </c>
      <c r="N4" s="199" t="s">
        <v>660</v>
      </c>
      <c r="O4" s="199" t="s">
        <v>661</v>
      </c>
      <c r="Q4" s="217" t="s">
        <v>662</v>
      </c>
      <c r="R4" s="218" t="s">
        <v>663</v>
      </c>
    </row>
    <row r="5" spans="2:18" ht="15.75" customHeight="1">
      <c r="B5" s="562" t="s">
        <v>664</v>
      </c>
      <c r="C5" s="560" t="s">
        <v>454</v>
      </c>
      <c r="E5" s="202" t="s">
        <v>36</v>
      </c>
      <c r="F5" s="202" t="s">
        <v>665</v>
      </c>
      <c r="H5" s="200" t="s">
        <v>666</v>
      </c>
      <c r="I5" s="199" t="s">
        <v>667</v>
      </c>
      <c r="K5" s="199" t="s">
        <v>668</v>
      </c>
      <c r="L5" s="199" t="s">
        <v>669</v>
      </c>
      <c r="N5" s="200" t="s">
        <v>670</v>
      </c>
      <c r="O5" s="199" t="s">
        <v>671</v>
      </c>
      <c r="Q5" s="217" t="s">
        <v>672</v>
      </c>
      <c r="R5" s="218" t="s">
        <v>673</v>
      </c>
    </row>
    <row r="6" spans="2:18" ht="21">
      <c r="B6" s="560"/>
      <c r="C6" s="560"/>
      <c r="E6" s="202" t="s">
        <v>156</v>
      </c>
      <c r="F6" s="202" t="s">
        <v>674</v>
      </c>
      <c r="H6" s="199" t="s">
        <v>675</v>
      </c>
      <c r="I6" s="199" t="s">
        <v>676</v>
      </c>
      <c r="K6" s="199" t="s">
        <v>677</v>
      </c>
      <c r="L6" s="199" t="s">
        <v>678</v>
      </c>
      <c r="N6" s="199" t="s">
        <v>679</v>
      </c>
      <c r="O6" s="199" t="s">
        <v>680</v>
      </c>
      <c r="Q6" s="217" t="s">
        <v>681</v>
      </c>
      <c r="R6" s="218" t="s">
        <v>682</v>
      </c>
    </row>
    <row r="7" spans="2:18" ht="15.75" customHeight="1">
      <c r="B7" s="562" t="s">
        <v>683</v>
      </c>
      <c r="C7" s="560" t="s">
        <v>684</v>
      </c>
      <c r="E7" s="202" t="s">
        <v>685</v>
      </c>
      <c r="F7" s="202" t="s">
        <v>686</v>
      </c>
      <c r="H7" s="199" t="s">
        <v>687</v>
      </c>
      <c r="I7" s="199" t="s">
        <v>688</v>
      </c>
      <c r="K7" s="199" t="s">
        <v>689</v>
      </c>
      <c r="L7" s="199" t="s">
        <v>690</v>
      </c>
      <c r="N7" s="199" t="s">
        <v>691</v>
      </c>
      <c r="O7" s="199" t="s">
        <v>692</v>
      </c>
      <c r="Q7" s="217" t="s">
        <v>693</v>
      </c>
      <c r="R7" s="218" t="s">
        <v>694</v>
      </c>
    </row>
    <row r="8" spans="2:18" ht="21">
      <c r="B8" s="560"/>
      <c r="C8" s="560"/>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1" t="s">
        <v>809</v>
      </c>
      <c r="C27" s="561"/>
      <c r="D27" s="561"/>
      <c r="E27" s="561"/>
      <c r="F27" s="561"/>
      <c r="H27" s="561" t="s">
        <v>810</v>
      </c>
      <c r="I27" s="561"/>
    </row>
    <row r="28" spans="2:18">
      <c r="B28" s="560" t="s">
        <v>650</v>
      </c>
      <c r="C28" s="560"/>
      <c r="D28" s="560" t="s">
        <v>811</v>
      </c>
      <c r="E28" s="560"/>
      <c r="F28" s="560"/>
      <c r="H28" s="560" t="s">
        <v>812</v>
      </c>
      <c r="I28" s="560"/>
    </row>
    <row r="29" spans="2:18">
      <c r="B29" s="560" t="s">
        <v>668</v>
      </c>
      <c r="C29" s="560"/>
      <c r="D29" s="560" t="s">
        <v>813</v>
      </c>
      <c r="E29" s="560"/>
      <c r="F29" s="560"/>
      <c r="H29" s="560" t="s">
        <v>814</v>
      </c>
      <c r="I29" s="560"/>
    </row>
    <row r="30" spans="2:18">
      <c r="B30" s="560" t="s">
        <v>658</v>
      </c>
      <c r="C30" s="560"/>
      <c r="D30" s="560" t="s">
        <v>815</v>
      </c>
      <c r="E30" s="560"/>
      <c r="F30" s="560"/>
      <c r="H30" s="560" t="s">
        <v>816</v>
      </c>
      <c r="I30" s="56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3" t="s">
        <v>36</v>
      </c>
      <c r="B2" s="608" t="s">
        <v>873</v>
      </c>
      <c r="C2" s="609"/>
      <c r="D2" s="609"/>
      <c r="E2" s="610"/>
      <c r="F2" s="130"/>
      <c r="H2" s="533" t="s">
        <v>874</v>
      </c>
      <c r="I2" s="624" t="s">
        <v>874</v>
      </c>
      <c r="J2" s="625"/>
      <c r="K2" s="625"/>
      <c r="L2" s="626"/>
      <c r="O2" s="533" t="s">
        <v>404</v>
      </c>
      <c r="P2" s="592" t="s">
        <v>875</v>
      </c>
      <c r="Q2" s="593"/>
      <c r="R2" s="593"/>
      <c r="S2" s="594"/>
    </row>
    <row r="3" spans="1:19" ht="15.75" thickBot="1">
      <c r="A3" s="535"/>
      <c r="B3" s="611"/>
      <c r="C3" s="612"/>
      <c r="D3" s="612"/>
      <c r="E3" s="613"/>
      <c r="H3" s="535"/>
      <c r="I3" s="627"/>
      <c r="J3" s="628"/>
      <c r="K3" s="628"/>
      <c r="L3" s="629"/>
      <c r="O3" s="535"/>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622"/>
      <c r="I6" s="404">
        <v>6</v>
      </c>
      <c r="J6" s="405"/>
      <c r="K6" s="406"/>
      <c r="L6" s="407"/>
      <c r="O6" s="114"/>
      <c r="P6" s="430" t="s">
        <v>410</v>
      </c>
      <c r="Q6" s="431"/>
      <c r="R6" s="412"/>
      <c r="S6" s="432"/>
    </row>
    <row r="7" spans="1:19">
      <c r="B7" s="404" t="s">
        <v>393</v>
      </c>
      <c r="C7" s="405">
        <v>0.62</v>
      </c>
      <c r="D7" s="406"/>
      <c r="E7" s="407">
        <f t="shared" si="0"/>
        <v>0</v>
      </c>
      <c r="G7" s="623"/>
      <c r="I7" s="404">
        <v>7</v>
      </c>
      <c r="J7" s="405"/>
      <c r="K7" s="406"/>
      <c r="L7" s="407"/>
      <c r="O7" s="114"/>
      <c r="P7" s="430" t="s">
        <v>399</v>
      </c>
      <c r="Q7" s="431"/>
      <c r="R7" s="412"/>
      <c r="S7" s="432"/>
    </row>
    <row r="8" spans="1:19">
      <c r="B8" s="404" t="s">
        <v>395</v>
      </c>
      <c r="C8" s="405">
        <v>1.06</v>
      </c>
      <c r="D8" s="406"/>
      <c r="E8" s="407">
        <f t="shared" si="0"/>
        <v>0</v>
      </c>
      <c r="G8" s="623"/>
      <c r="I8" s="404">
        <v>8</v>
      </c>
      <c r="J8" s="405"/>
      <c r="K8" s="406"/>
      <c r="L8" s="407"/>
      <c r="O8" s="114"/>
      <c r="P8" s="445" t="s">
        <v>414</v>
      </c>
      <c r="Q8" s="427"/>
      <c r="R8" s="428"/>
      <c r="S8" s="429"/>
    </row>
    <row r="9" spans="1:19">
      <c r="B9" s="404" t="s">
        <v>397</v>
      </c>
      <c r="C9" s="405">
        <v>1.38</v>
      </c>
      <c r="D9" s="406"/>
      <c r="E9" s="407">
        <f t="shared" si="0"/>
        <v>0</v>
      </c>
      <c r="G9" s="623"/>
      <c r="I9" s="404">
        <v>9</v>
      </c>
      <c r="J9" s="405"/>
      <c r="K9" s="406"/>
      <c r="L9" s="407"/>
    </row>
    <row r="10" spans="1:19" ht="15.75" thickBot="1">
      <c r="B10" s="404" t="s">
        <v>399</v>
      </c>
      <c r="C10" s="405">
        <v>2.1</v>
      </c>
      <c r="D10" s="406"/>
      <c r="E10" s="407">
        <f t="shared" si="0"/>
        <v>0</v>
      </c>
      <c r="G10" s="623"/>
      <c r="I10" s="404">
        <v>10</v>
      </c>
      <c r="J10" s="405"/>
      <c r="K10" s="406"/>
      <c r="L10" s="407"/>
    </row>
    <row r="11" spans="1:19">
      <c r="B11" s="404" t="s">
        <v>401</v>
      </c>
      <c r="C11" s="405">
        <v>3.02</v>
      </c>
      <c r="D11" s="406"/>
      <c r="E11" s="407">
        <f t="shared" si="0"/>
        <v>0</v>
      </c>
      <c r="G11" s="623"/>
      <c r="I11" s="404">
        <v>11</v>
      </c>
      <c r="J11" s="405"/>
      <c r="K11" s="406"/>
      <c r="L11" s="407"/>
      <c r="O11" s="533" t="s">
        <v>405</v>
      </c>
      <c r="P11" s="592" t="s">
        <v>877</v>
      </c>
      <c r="Q11" s="593"/>
      <c r="R11" s="593"/>
      <c r="S11" s="594"/>
    </row>
    <row r="12" spans="1:19" ht="15.75" thickBot="1">
      <c r="B12" s="408" t="s">
        <v>168</v>
      </c>
      <c r="C12" s="409">
        <v>4.7</v>
      </c>
      <c r="D12" s="410"/>
      <c r="E12" s="411">
        <f t="shared" si="0"/>
        <v>0</v>
      </c>
      <c r="G12" s="623"/>
      <c r="I12" s="408">
        <v>12</v>
      </c>
      <c r="J12" s="409"/>
      <c r="K12" s="410"/>
      <c r="L12" s="411"/>
      <c r="O12" s="535"/>
      <c r="P12" s="595"/>
      <c r="Q12" s="596"/>
      <c r="R12" s="596"/>
      <c r="S12" s="597"/>
    </row>
    <row r="13" spans="1:19" ht="15.75" thickBot="1">
      <c r="B13" s="599" t="s">
        <v>36</v>
      </c>
      <c r="C13" s="599"/>
      <c r="D13" s="140">
        <f>SUM(D6:D12)</f>
        <v>0</v>
      </c>
      <c r="E13" s="141">
        <f>SUM(E6:E12)</f>
        <v>0</v>
      </c>
      <c r="G13" s="623"/>
      <c r="I13" s="599" t="s">
        <v>36</v>
      </c>
      <c r="J13" s="599"/>
      <c r="K13" s="140">
        <f>SUM(K6:K12)</f>
        <v>0</v>
      </c>
      <c r="L13" s="141">
        <f>SUM(L6:L12)</f>
        <v>0</v>
      </c>
      <c r="P13" s="131" t="s">
        <v>37</v>
      </c>
      <c r="Q13" s="131" t="s">
        <v>24</v>
      </c>
      <c r="R13" s="131" t="s">
        <v>876</v>
      </c>
      <c r="S13" s="131" t="s">
        <v>32</v>
      </c>
    </row>
    <row r="14" spans="1:19">
      <c r="G14" s="623"/>
      <c r="P14" s="445" t="s">
        <v>391</v>
      </c>
      <c r="Q14" s="427"/>
      <c r="R14" s="428"/>
      <c r="S14" s="429"/>
    </row>
    <row r="15" spans="1:19" ht="15.75" thickBot="1">
      <c r="G15" s="622"/>
      <c r="O15" s="114"/>
      <c r="P15" s="430" t="s">
        <v>393</v>
      </c>
      <c r="Q15" s="431"/>
      <c r="R15" s="412"/>
      <c r="S15" s="432"/>
    </row>
    <row r="16" spans="1:19">
      <c r="A16" s="533" t="s">
        <v>107</v>
      </c>
      <c r="B16" s="608" t="s">
        <v>878</v>
      </c>
      <c r="C16" s="609"/>
      <c r="D16" s="609"/>
      <c r="E16" s="610"/>
      <c r="G16" s="623"/>
      <c r="H16" s="533" t="s">
        <v>879</v>
      </c>
      <c r="I16" s="624" t="s">
        <v>879</v>
      </c>
      <c r="J16" s="625"/>
      <c r="K16" s="625"/>
      <c r="L16" s="626"/>
      <c r="O16" s="114"/>
      <c r="P16" s="430"/>
      <c r="Q16" s="431"/>
      <c r="R16" s="412"/>
      <c r="S16" s="432"/>
    </row>
    <row r="17" spans="1:19" ht="15.75" thickBot="1">
      <c r="A17" s="535"/>
      <c r="B17" s="611"/>
      <c r="C17" s="612"/>
      <c r="D17" s="612"/>
      <c r="E17" s="613"/>
      <c r="G17" s="623"/>
      <c r="H17" s="535"/>
      <c r="I17" s="627"/>
      <c r="J17" s="628"/>
      <c r="K17" s="628"/>
      <c r="L17" s="629"/>
      <c r="O17" s="114"/>
      <c r="P17" s="445"/>
      <c r="Q17" s="427"/>
      <c r="R17" s="428"/>
      <c r="S17" s="429"/>
    </row>
    <row r="18" spans="1:19" ht="15.75" thickBot="1">
      <c r="B18" s="131" t="s">
        <v>37</v>
      </c>
      <c r="C18" s="131" t="s">
        <v>24</v>
      </c>
      <c r="D18" s="131" t="s">
        <v>876</v>
      </c>
      <c r="E18" s="131" t="s">
        <v>32</v>
      </c>
      <c r="G18" s="623"/>
      <c r="I18" s="131" t="s">
        <v>37</v>
      </c>
      <c r="J18" s="131" t="s">
        <v>24</v>
      </c>
      <c r="K18" s="131" t="s">
        <v>876</v>
      </c>
      <c r="L18" s="131" t="s">
        <v>32</v>
      </c>
    </row>
    <row r="19" spans="1:19">
      <c r="B19" s="132"/>
      <c r="C19" s="133"/>
      <c r="D19" s="134"/>
      <c r="E19" s="135"/>
      <c r="G19" s="623"/>
      <c r="I19" s="404">
        <v>4</v>
      </c>
      <c r="J19" s="405"/>
      <c r="K19" s="406"/>
      <c r="L19" s="407"/>
      <c r="O19" s="533" t="s">
        <v>696</v>
      </c>
      <c r="P19" s="592" t="s">
        <v>880</v>
      </c>
      <c r="Q19" s="593"/>
      <c r="R19" s="593"/>
      <c r="S19" s="594"/>
    </row>
    <row r="20" spans="1:19" ht="15.75" thickBot="1">
      <c r="B20" s="404" t="s">
        <v>392</v>
      </c>
      <c r="C20" s="405">
        <v>0.19</v>
      </c>
      <c r="D20" s="406"/>
      <c r="E20" s="407">
        <f t="shared" ref="E20:E27" si="1">D20*C20</f>
        <v>0</v>
      </c>
      <c r="G20" s="623"/>
      <c r="I20" s="404">
        <v>6</v>
      </c>
      <c r="J20" s="405"/>
      <c r="K20" s="406"/>
      <c r="L20" s="407"/>
      <c r="O20" s="535"/>
      <c r="P20" s="595"/>
      <c r="Q20" s="596"/>
      <c r="R20" s="596"/>
      <c r="S20" s="597"/>
    </row>
    <row r="21" spans="1:19" ht="15" customHeight="1" thickBot="1">
      <c r="B21" s="404" t="s">
        <v>394</v>
      </c>
      <c r="C21" s="405">
        <v>0.24</v>
      </c>
      <c r="D21" s="406"/>
      <c r="E21" s="407">
        <f t="shared" si="1"/>
        <v>0</v>
      </c>
      <c r="G21" s="623"/>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23"/>
      <c r="I22" s="404">
        <v>8</v>
      </c>
      <c r="J22" s="405"/>
      <c r="K22" s="406"/>
      <c r="L22" s="407"/>
      <c r="P22" s="459" t="s">
        <v>65</v>
      </c>
      <c r="Q22" s="427"/>
      <c r="R22" s="428"/>
      <c r="S22" s="429"/>
    </row>
    <row r="23" spans="1:19">
      <c r="B23" s="404" t="s">
        <v>398</v>
      </c>
      <c r="C23" s="405">
        <v>0.41</v>
      </c>
      <c r="D23" s="406"/>
      <c r="E23" s="407">
        <f t="shared" si="1"/>
        <v>0</v>
      </c>
      <c r="G23" s="623"/>
      <c r="I23" s="404">
        <v>9</v>
      </c>
      <c r="J23" s="405"/>
      <c r="K23" s="406"/>
      <c r="L23" s="407"/>
      <c r="O23" s="114"/>
      <c r="P23" s="460" t="s">
        <v>392</v>
      </c>
      <c r="Q23" s="431"/>
      <c r="R23" s="412"/>
      <c r="S23" s="432"/>
    </row>
    <row r="24" spans="1:19">
      <c r="B24" s="404" t="s">
        <v>400</v>
      </c>
      <c r="C24" s="405">
        <v>0.66</v>
      </c>
      <c r="D24" s="406"/>
      <c r="E24" s="407">
        <f t="shared" si="1"/>
        <v>0</v>
      </c>
      <c r="G24" s="622"/>
      <c r="I24" s="404">
        <v>10</v>
      </c>
      <c r="J24" s="405"/>
      <c r="K24" s="406"/>
      <c r="L24" s="407"/>
      <c r="O24" s="114"/>
      <c r="P24" s="460" t="s">
        <v>412</v>
      </c>
      <c r="Q24" s="431"/>
      <c r="R24" s="412"/>
      <c r="S24" s="432"/>
    </row>
    <row r="25" spans="1:19">
      <c r="B25" s="404" t="s">
        <v>402</v>
      </c>
      <c r="C25" s="405">
        <v>0.98</v>
      </c>
      <c r="D25" s="406"/>
      <c r="E25" s="407">
        <f t="shared" si="1"/>
        <v>0</v>
      </c>
      <c r="G25" s="623"/>
      <c r="I25" s="404">
        <v>11</v>
      </c>
      <c r="J25" s="405"/>
      <c r="K25" s="406"/>
      <c r="L25" s="407"/>
      <c r="O25" s="114"/>
      <c r="P25" s="461" t="s">
        <v>415</v>
      </c>
      <c r="Q25" s="427"/>
      <c r="R25" s="428"/>
      <c r="S25" s="429"/>
    </row>
    <row r="26" spans="1:19" ht="15.75" thickBot="1">
      <c r="B26" s="404" t="s">
        <v>403</v>
      </c>
      <c r="C26" s="405">
        <v>1.4</v>
      </c>
      <c r="D26" s="406"/>
      <c r="E26" s="407">
        <f t="shared" si="1"/>
        <v>0</v>
      </c>
      <c r="G26" s="623"/>
      <c r="I26" s="408">
        <v>12</v>
      </c>
      <c r="J26" s="409"/>
      <c r="K26" s="410"/>
      <c r="L26" s="411"/>
      <c r="P26" s="460" t="s">
        <v>394</v>
      </c>
      <c r="Q26" s="427"/>
      <c r="R26" s="428"/>
      <c r="S26" s="429"/>
    </row>
    <row r="27" spans="1:19" ht="15.75" thickBot="1">
      <c r="B27" s="404"/>
      <c r="C27" s="405">
        <v>1.92</v>
      </c>
      <c r="D27" s="406"/>
      <c r="E27" s="407">
        <f t="shared" si="1"/>
        <v>0</v>
      </c>
      <c r="G27" s="623"/>
      <c r="I27" s="599" t="s">
        <v>36</v>
      </c>
      <c r="J27" s="599"/>
      <c r="K27" s="140">
        <f>SUM(K20:K26)</f>
        <v>0</v>
      </c>
      <c r="L27" s="141">
        <f>SUM(L20:L26)</f>
        <v>0</v>
      </c>
      <c r="P27" s="461" t="s">
        <v>398</v>
      </c>
      <c r="Q27" s="427"/>
      <c r="R27" s="428"/>
      <c r="S27" s="429"/>
    </row>
    <row r="28" spans="1:19" ht="15.75" thickBot="1">
      <c r="B28" s="136"/>
      <c r="C28" s="137"/>
      <c r="D28" s="138"/>
      <c r="E28" s="139"/>
      <c r="G28" s="623"/>
      <c r="P28" s="462" t="s">
        <v>402</v>
      </c>
      <c r="Q28" s="427"/>
      <c r="R28" s="428"/>
      <c r="S28" s="429"/>
    </row>
    <row r="29" spans="1:19" ht="15.75" thickBot="1">
      <c r="B29" s="599" t="s">
        <v>107</v>
      </c>
      <c r="C29" s="599"/>
      <c r="D29" s="140">
        <f>SUM(D19:D28)</f>
        <v>0</v>
      </c>
      <c r="E29" s="141">
        <f>SUM(E19:E28)</f>
        <v>0</v>
      </c>
      <c r="G29" s="623"/>
    </row>
    <row r="30" spans="1:19" ht="15.75" thickBot="1">
      <c r="B30" s="142"/>
      <c r="C30" s="142"/>
      <c r="E30" s="143"/>
      <c r="G30" s="623"/>
    </row>
    <row r="31" spans="1:19" ht="15.75" customHeight="1" thickBot="1">
      <c r="G31" s="623"/>
      <c r="O31" s="533" t="s">
        <v>407</v>
      </c>
      <c r="P31" s="592" t="s">
        <v>881</v>
      </c>
      <c r="Q31" s="593"/>
      <c r="R31" s="593"/>
      <c r="S31" s="594"/>
    </row>
    <row r="32" spans="1:19" ht="15.75" customHeight="1" thickBot="1">
      <c r="A32" s="533" t="s">
        <v>157</v>
      </c>
      <c r="B32" s="608" t="s">
        <v>882</v>
      </c>
      <c r="C32" s="609"/>
      <c r="D32" s="609"/>
      <c r="E32" s="610"/>
      <c r="G32" s="623"/>
      <c r="H32" s="533" t="s">
        <v>158</v>
      </c>
      <c r="I32" s="592" t="s">
        <v>883</v>
      </c>
      <c r="J32" s="593"/>
      <c r="K32" s="593"/>
      <c r="L32" s="594"/>
      <c r="O32" s="535"/>
      <c r="P32" s="595"/>
      <c r="Q32" s="596"/>
      <c r="R32" s="596"/>
      <c r="S32" s="597"/>
    </row>
    <row r="33" spans="1:19" ht="15.75" thickBot="1">
      <c r="A33" s="535"/>
      <c r="B33" s="611"/>
      <c r="C33" s="612"/>
      <c r="D33" s="612"/>
      <c r="E33" s="613"/>
      <c r="H33" s="535"/>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4" t="s">
        <v>157</v>
      </c>
      <c r="C44" s="615"/>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3" t="s">
        <v>33</v>
      </c>
      <c r="B47" s="616" t="s">
        <v>884</v>
      </c>
      <c r="C47" s="617"/>
      <c r="D47" s="617"/>
      <c r="E47" s="618"/>
      <c r="I47" s="434" t="s">
        <v>289</v>
      </c>
      <c r="J47" s="435">
        <v>67.5</v>
      </c>
      <c r="K47" s="413"/>
      <c r="L47" s="436">
        <f t="shared" si="2"/>
        <v>0</v>
      </c>
    </row>
    <row r="48" spans="1:19" ht="15.75" thickBot="1">
      <c r="A48" s="535"/>
      <c r="B48" s="619"/>
      <c r="C48" s="620"/>
      <c r="D48" s="620"/>
      <c r="E48" s="621"/>
      <c r="F48" s="146"/>
      <c r="I48" s="599" t="s">
        <v>158</v>
      </c>
      <c r="J48" s="599"/>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3" t="s">
        <v>35</v>
      </c>
      <c r="I51" s="592" t="s">
        <v>885</v>
      </c>
      <c r="J51" s="593"/>
      <c r="K51" s="593"/>
      <c r="L51" s="594"/>
      <c r="M51" s="114"/>
      <c r="N51" s="114"/>
      <c r="O51" s="114"/>
      <c r="P51" s="114"/>
    </row>
    <row r="52" spans="2:16" ht="15.75" customHeight="1" thickBot="1">
      <c r="B52" s="414">
        <v>1.2</v>
      </c>
      <c r="C52" s="415">
        <v>0.01</v>
      </c>
      <c r="D52" s="417"/>
      <c r="E52" s="407">
        <f t="shared" si="4"/>
        <v>0</v>
      </c>
      <c r="F52" s="146"/>
      <c r="H52" s="535"/>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00"/>
      <c r="I61" s="602"/>
      <c r="J61" s="603"/>
      <c r="K61" s="603"/>
      <c r="L61" s="604"/>
      <c r="M61" s="114"/>
      <c r="N61" s="114"/>
      <c r="O61" s="114"/>
      <c r="P61" s="114"/>
    </row>
    <row r="62" spans="2:16" ht="15.75" thickBot="1">
      <c r="B62" s="418"/>
      <c r="C62" s="405">
        <v>0.78</v>
      </c>
      <c r="D62" s="412"/>
      <c r="E62" s="407">
        <f t="shared" si="4"/>
        <v>0</v>
      </c>
      <c r="F62" s="150"/>
      <c r="H62" s="601"/>
      <c r="I62" s="605"/>
      <c r="J62" s="606"/>
      <c r="K62" s="606"/>
      <c r="L62" s="607"/>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598" t="s">
        <v>33</v>
      </c>
      <c r="C67" s="598"/>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3"/>
      <c r="I70" s="592"/>
      <c r="J70" s="593"/>
      <c r="K70" s="593"/>
      <c r="L70" s="594"/>
    </row>
    <row r="71" spans="2:16" ht="15.75" thickBot="1">
      <c r="F71" s="156"/>
      <c r="H71" s="535"/>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3"/>
      <c r="I82" s="592"/>
      <c r="J82" s="593"/>
      <c r="K82" s="593"/>
      <c r="L82" s="594"/>
    </row>
    <row r="83" spans="6:12" ht="15.75" thickBot="1">
      <c r="F83" s="146"/>
      <c r="H83" s="535"/>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Props1.xml><?xml version="1.0" encoding="utf-8"?>
<ds:datastoreItem xmlns:ds="http://schemas.openxmlformats.org/officeDocument/2006/customXml" ds:itemID="{5A1275AE-98DC-464E-A47E-934FC2201028}"/>
</file>

<file path=customXml/itemProps2.xml><?xml version="1.0" encoding="utf-8"?>
<ds:datastoreItem xmlns:ds="http://schemas.openxmlformats.org/officeDocument/2006/customXml" ds:itemID="{88AD7CA8-6DC8-445E-B7F1-A95EAF46B2B4}"/>
</file>

<file path=customXml/itemProps3.xml><?xml version="1.0" encoding="utf-8"?>
<ds:datastoreItem xmlns:ds="http://schemas.openxmlformats.org/officeDocument/2006/customXml" ds:itemID="{F7BE8C1B-9D12-417D-A8BE-D01DBCC61A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