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23"/>
  <workbookPr defaultThemeVersion="124226"/>
  <xr:revisionPtr revIDLastSave="0" documentId="11_D82E5620528D5DD10C53E877F4977D1C1F5A4E97" xr6:coauthVersionLast="47" xr6:coauthVersionMax="47" xr10:uidLastSave="{00000000-0000-0000-0000-000000000000}"/>
  <bookViews>
    <workbookView xWindow="-15" yWindow="-15" windowWidth="24060" windowHeight="9735" xr2:uid="{00000000-000D-0000-FFFF-FFFF00000000}"/>
  </bookViews>
  <sheets>
    <sheet name="ZEMERRA" sheetId="1" r:id="rId1"/>
    <sheet name="DIAMOND" sheetId="4" r:id="rId2"/>
    <sheet name="Diamond Back" sheetId="10" state="hidden" r:id="rId3"/>
    <sheet name="RING SIZE" sheetId="9" state="hidden" r:id="rId4"/>
    <sheet name="C STONE" sheetId="15" r:id="rId5"/>
    <sheet name="RING&amp; BRC SIZE" sheetId="6" r:id="rId6"/>
    <sheet name="COLOR STONE CODE" sheetId="7" r:id="rId7"/>
    <sheet name="Finding Detail" sheetId="12" r:id="rId8"/>
    <sheet name="Onex Prl Chart" sheetId="14" r:id="rId9"/>
    <sheet name="OLD C STONE" sheetId="5"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5" i="1"/>
  <c r="E6" i="1"/>
  <c r="F7" i="1" l="1"/>
  <c r="D13" i="5"/>
  <c r="E12" i="5"/>
  <c r="E11" i="5"/>
  <c r="E10" i="5"/>
  <c r="E9" i="5"/>
  <c r="E8" i="5"/>
  <c r="E7" i="5"/>
  <c r="E6" i="5"/>
  <c r="E13" i="5" s="1"/>
  <c r="C3" i="1" l="1"/>
  <c r="L27" i="5"/>
  <c r="K27" i="5"/>
  <c r="K13" i="5"/>
  <c r="L13" i="5"/>
  <c r="J17" i="14" l="1"/>
  <c r="I17" i="14"/>
  <c r="D17" i="14"/>
  <c r="E17" i="14"/>
  <c r="M14" i="12" l="1"/>
  <c r="M13" i="12"/>
  <c r="M12" i="12"/>
  <c r="M11" i="12"/>
  <c r="M10" i="12"/>
  <c r="W65" i="4" l="1"/>
  <c r="E36" i="5" l="1"/>
  <c r="F10" i="1" l="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9" i="1"/>
  <c r="D10" i="1" l="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9" i="1"/>
  <c r="H16" i="1" l="1"/>
  <c r="H17" i="1"/>
  <c r="H18" i="1"/>
  <c r="H19" i="1"/>
  <c r="H31" i="1"/>
  <c r="H10" i="1"/>
  <c r="H11" i="1"/>
  <c r="H12" i="1"/>
  <c r="H13" i="1"/>
  <c r="H14" i="1"/>
  <c r="H15" i="1"/>
  <c r="H20" i="1"/>
  <c r="H21" i="1"/>
  <c r="H22" i="1"/>
  <c r="H23" i="1"/>
  <c r="H24" i="1"/>
  <c r="H25" i="1"/>
  <c r="H26" i="1"/>
  <c r="H27" i="1"/>
  <c r="H28" i="1"/>
  <c r="H29" i="1"/>
  <c r="H30" i="1"/>
  <c r="H32" i="1"/>
  <c r="H33" i="1"/>
  <c r="H34" i="1"/>
  <c r="H35" i="1"/>
  <c r="H36" i="1"/>
  <c r="H37" i="1"/>
  <c r="H38" i="1"/>
  <c r="M7" i="12" l="1"/>
  <c r="E103" i="10" l="1"/>
  <c r="J57" i="10" s="1"/>
  <c r="F102" i="10"/>
  <c r="F101" i="10"/>
  <c r="F100" i="10"/>
  <c r="F99" i="10"/>
  <c r="F98" i="10"/>
  <c r="F97" i="10"/>
  <c r="F96" i="10"/>
  <c r="F95" i="10"/>
  <c r="F94" i="10"/>
  <c r="F93" i="10"/>
  <c r="F92" i="10"/>
  <c r="F91" i="10"/>
  <c r="F90" i="10"/>
  <c r="F89" i="10"/>
  <c r="F88" i="10"/>
  <c r="F87" i="10"/>
  <c r="F86" i="10"/>
  <c r="F85" i="10"/>
  <c r="P84" i="10"/>
  <c r="J63" i="10" s="1"/>
  <c r="F84" i="10"/>
  <c r="Q83" i="10"/>
  <c r="F83" i="10"/>
  <c r="V82" i="10"/>
  <c r="Q82" i="10"/>
  <c r="F82" i="10"/>
  <c r="W81" i="10"/>
  <c r="Q81" i="10"/>
  <c r="F81" i="10"/>
  <c r="W80" i="10"/>
  <c r="Q80" i="10"/>
  <c r="F80" i="10"/>
  <c r="W79" i="10"/>
  <c r="Q79" i="10"/>
  <c r="F79" i="10"/>
  <c r="W78" i="10"/>
  <c r="Q78" i="10"/>
  <c r="F78" i="10"/>
  <c r="W77" i="10"/>
  <c r="Q77" i="10"/>
  <c r="F77" i="10"/>
  <c r="W76" i="10"/>
  <c r="Q76" i="10"/>
  <c r="F76" i="10"/>
  <c r="W75" i="10"/>
  <c r="Q75" i="10"/>
  <c r="F75" i="10"/>
  <c r="W74" i="10"/>
  <c r="Q74" i="10"/>
  <c r="F74" i="10"/>
  <c r="W73" i="10"/>
  <c r="Q73" i="10"/>
  <c r="F73" i="10"/>
  <c r="W72" i="10"/>
  <c r="Q72" i="10"/>
  <c r="F72" i="10"/>
  <c r="W71" i="10"/>
  <c r="Q71" i="10"/>
  <c r="F71" i="10"/>
  <c r="W70" i="10"/>
  <c r="Q70" i="10"/>
  <c r="F70" i="10"/>
  <c r="W69" i="10"/>
  <c r="Q69" i="10"/>
  <c r="F69" i="10"/>
  <c r="W68" i="10"/>
  <c r="F68" i="10"/>
  <c r="W67" i="10"/>
  <c r="F67" i="10"/>
  <c r="W66" i="10"/>
  <c r="F66" i="10"/>
  <c r="W65" i="10"/>
  <c r="F65" i="10"/>
  <c r="W64" i="10"/>
  <c r="P64" i="10"/>
  <c r="J59" i="10" s="1"/>
  <c r="F64" i="10"/>
  <c r="Q63" i="10"/>
  <c r="F63" i="10"/>
  <c r="Q62" i="10"/>
  <c r="J62" i="10"/>
  <c r="F62" i="10"/>
  <c r="Q61" i="10"/>
  <c r="F61" i="10"/>
  <c r="Q60" i="10"/>
  <c r="F60" i="10"/>
  <c r="V59" i="10"/>
  <c r="J61" i="10" s="1"/>
  <c r="Q59" i="10"/>
  <c r="F59" i="10"/>
  <c r="W58" i="10"/>
  <c r="Q58" i="10"/>
  <c r="F58" i="10"/>
  <c r="W57" i="10"/>
  <c r="Q57" i="10"/>
  <c r="F57" i="10"/>
  <c r="W56" i="10"/>
  <c r="Q56" i="10"/>
  <c r="F56" i="10"/>
  <c r="W55" i="10"/>
  <c r="Q55" i="10"/>
  <c r="F55" i="10"/>
  <c r="W54" i="10"/>
  <c r="Q54" i="10"/>
  <c r="F54" i="10"/>
  <c r="W53" i="10"/>
  <c r="Q53" i="10"/>
  <c r="F53" i="10"/>
  <c r="W52" i="10"/>
  <c r="Q52" i="10"/>
  <c r="F52" i="10"/>
  <c r="W51" i="10"/>
  <c r="Q51" i="10"/>
  <c r="F51" i="10"/>
  <c r="W50" i="10"/>
  <c r="Q50" i="10"/>
  <c r="F50" i="10"/>
  <c r="W49" i="10"/>
  <c r="Q49" i="10"/>
  <c r="F49" i="10"/>
  <c r="W48" i="10"/>
  <c r="Q48" i="10"/>
  <c r="F48" i="10"/>
  <c r="W47" i="10"/>
  <c r="Q47" i="10"/>
  <c r="F47" i="10"/>
  <c r="W46" i="10"/>
  <c r="Q46" i="10"/>
  <c r="J46" i="10"/>
  <c r="J58" i="10" s="1"/>
  <c r="F46" i="10"/>
  <c r="W45" i="10"/>
  <c r="Q45" i="10"/>
  <c r="K45" i="10"/>
  <c r="F45" i="10"/>
  <c r="W44" i="10"/>
  <c r="Q44" i="10"/>
  <c r="K44" i="10"/>
  <c r="F44" i="10"/>
  <c r="W43" i="10"/>
  <c r="Q43" i="10"/>
  <c r="K43" i="10"/>
  <c r="F43" i="10"/>
  <c r="W42" i="10"/>
  <c r="Q42" i="10"/>
  <c r="K42" i="10"/>
  <c r="F42" i="10"/>
  <c r="W41" i="10"/>
  <c r="Q41" i="10"/>
  <c r="K41" i="10"/>
  <c r="F41" i="10"/>
  <c r="W40" i="10"/>
  <c r="Q40" i="10"/>
  <c r="K40" i="10"/>
  <c r="F40" i="10"/>
  <c r="Q39" i="10"/>
  <c r="K39" i="10"/>
  <c r="F39" i="10"/>
  <c r="Q38" i="10"/>
  <c r="K38" i="10"/>
  <c r="F38" i="10"/>
  <c r="Q37" i="10"/>
  <c r="K37" i="10"/>
  <c r="F37" i="10"/>
  <c r="V36" i="10"/>
  <c r="J60" i="10" s="1"/>
  <c r="Q36" i="10"/>
  <c r="K36" i="10"/>
  <c r="F36" i="10"/>
  <c r="W35" i="10"/>
  <c r="Q35" i="10"/>
  <c r="K35" i="10"/>
  <c r="F35" i="10"/>
  <c r="W34" i="10"/>
  <c r="Q34" i="10"/>
  <c r="K34" i="10"/>
  <c r="F34" i="10"/>
  <c r="W33" i="10"/>
  <c r="Q33" i="10"/>
  <c r="K33" i="10"/>
  <c r="F33" i="10"/>
  <c r="W32" i="10"/>
  <c r="Q32" i="10"/>
  <c r="K32" i="10"/>
  <c r="F32" i="10"/>
  <c r="W31" i="10"/>
  <c r="Q31" i="10"/>
  <c r="K31" i="10"/>
  <c r="F31" i="10"/>
  <c r="W30" i="10"/>
  <c r="Q30" i="10"/>
  <c r="K30" i="10"/>
  <c r="F30" i="10"/>
  <c r="W29" i="10"/>
  <c r="Q29" i="10"/>
  <c r="K29" i="10"/>
  <c r="F29" i="10"/>
  <c r="W28" i="10"/>
  <c r="Q28" i="10"/>
  <c r="K28" i="10"/>
  <c r="F28" i="10"/>
  <c r="W27" i="10"/>
  <c r="Q27" i="10"/>
  <c r="K27" i="10"/>
  <c r="F27" i="10"/>
  <c r="W26" i="10"/>
  <c r="Q26" i="10"/>
  <c r="K26" i="10"/>
  <c r="F26" i="10"/>
  <c r="W25" i="10"/>
  <c r="Q25" i="10"/>
  <c r="K25" i="10"/>
  <c r="F25" i="10"/>
  <c r="W24" i="10"/>
  <c r="Q24" i="10"/>
  <c r="K24" i="10"/>
  <c r="W23" i="10"/>
  <c r="Q23" i="10"/>
  <c r="K23" i="10"/>
  <c r="F23" i="10"/>
  <c r="W22" i="10"/>
  <c r="Q22" i="10"/>
  <c r="K22" i="10"/>
  <c r="F22" i="10"/>
  <c r="W21" i="10"/>
  <c r="Q21" i="10"/>
  <c r="K21" i="10"/>
  <c r="F21" i="10"/>
  <c r="W20" i="10"/>
  <c r="Q20" i="10"/>
  <c r="K20" i="10"/>
  <c r="F20" i="10"/>
  <c r="W19" i="10"/>
  <c r="Q19" i="10"/>
  <c r="K19" i="10"/>
  <c r="F19" i="10"/>
  <c r="W18" i="10"/>
  <c r="Q18" i="10"/>
  <c r="K18" i="10"/>
  <c r="F18" i="10"/>
  <c r="W17" i="10"/>
  <c r="Q17" i="10"/>
  <c r="K17" i="10"/>
  <c r="F17" i="10"/>
  <c r="W16" i="10"/>
  <c r="Q16" i="10"/>
  <c r="K16" i="10"/>
  <c r="F16" i="10"/>
  <c r="W15" i="10"/>
  <c r="Q15" i="10"/>
  <c r="K15" i="10"/>
  <c r="F15" i="10"/>
  <c r="W14" i="10"/>
  <c r="Q14" i="10"/>
  <c r="K14" i="10"/>
  <c r="F14" i="10"/>
  <c r="W13" i="10"/>
  <c r="Q13" i="10"/>
  <c r="K13" i="10"/>
  <c r="F13" i="10"/>
  <c r="W12" i="10"/>
  <c r="Q12" i="10"/>
  <c r="K12" i="10"/>
  <c r="F12" i="10"/>
  <c r="W11" i="10"/>
  <c r="Q11" i="10"/>
  <c r="K11" i="10"/>
  <c r="F11" i="10"/>
  <c r="W10" i="10"/>
  <c r="Q10" i="10"/>
  <c r="K10" i="10"/>
  <c r="F10" i="10"/>
  <c r="W9" i="10"/>
  <c r="Q9" i="10"/>
  <c r="K9" i="10"/>
  <c r="F9" i="10"/>
  <c r="W36" i="10" l="1"/>
  <c r="K60" i="10" s="1"/>
  <c r="W59" i="10"/>
  <c r="K61" i="10" s="1"/>
  <c r="J64" i="10"/>
  <c r="C5" i="10" s="1"/>
  <c r="K46" i="10"/>
  <c r="K58" i="10" s="1"/>
  <c r="Q64" i="10"/>
  <c r="K59" i="10" s="1"/>
  <c r="W82" i="10"/>
  <c r="K62" i="10" s="1"/>
  <c r="Q84" i="10"/>
  <c r="K63" i="10" s="1"/>
  <c r="F103" i="10"/>
  <c r="K57" i="10" s="1"/>
  <c r="K64" i="10" l="1"/>
  <c r="F5" i="10" s="1"/>
  <c r="E103" i="4" l="1"/>
  <c r="J57" i="4" s="1"/>
  <c r="K48" i="5"/>
  <c r="L47" i="5"/>
  <c r="L46" i="5"/>
  <c r="L45" i="5"/>
  <c r="L44" i="5"/>
  <c r="L43" i="5"/>
  <c r="L42" i="5"/>
  <c r="L41" i="5"/>
  <c r="L40" i="5"/>
  <c r="L39" i="5"/>
  <c r="L38" i="5"/>
  <c r="L37" i="5"/>
  <c r="L36" i="5"/>
  <c r="L35" i="5"/>
  <c r="D67" i="5"/>
  <c r="E64" i="5"/>
  <c r="E63" i="5"/>
  <c r="E62" i="5"/>
  <c r="E61" i="5"/>
  <c r="E60" i="5"/>
  <c r="E59" i="5"/>
  <c r="E58" i="5"/>
  <c r="E57" i="5"/>
  <c r="E56" i="5"/>
  <c r="E55" i="5"/>
  <c r="E54" i="5"/>
  <c r="E53" i="5"/>
  <c r="E52" i="5"/>
  <c r="E51" i="5"/>
  <c r="E50" i="5"/>
  <c r="D44" i="5"/>
  <c r="E43" i="5"/>
  <c r="E42" i="5"/>
  <c r="E41" i="5"/>
  <c r="E40" i="5"/>
  <c r="E39" i="5"/>
  <c r="E38" i="5"/>
  <c r="E37" i="5"/>
  <c r="D29" i="5"/>
  <c r="E27" i="5"/>
  <c r="E26" i="5"/>
  <c r="E25" i="5"/>
  <c r="E24" i="5"/>
  <c r="E23" i="5"/>
  <c r="E22" i="5"/>
  <c r="E21" i="5"/>
  <c r="E20" i="5"/>
  <c r="G39" i="1"/>
  <c r="K4" i="1" s="1"/>
  <c r="E29" i="5" l="1"/>
  <c r="E67" i="5"/>
  <c r="E44" i="5"/>
  <c r="L48" i="5"/>
  <c r="H9" i="1"/>
  <c r="F102" i="4"/>
  <c r="F85" i="4"/>
  <c r="P84" i="4"/>
  <c r="J63" i="4" s="1"/>
  <c r="F101" i="4"/>
  <c r="F84" i="4"/>
  <c r="Q83" i="4"/>
  <c r="F100" i="4"/>
  <c r="F83" i="4"/>
  <c r="V83" i="4"/>
  <c r="J62" i="4" s="1"/>
  <c r="Q82" i="4"/>
  <c r="F99" i="4"/>
  <c r="F82" i="4"/>
  <c r="W82" i="4"/>
  <c r="Q81" i="4"/>
  <c r="F98" i="4"/>
  <c r="F81" i="4"/>
  <c r="W81" i="4"/>
  <c r="Q80" i="4"/>
  <c r="F97" i="4"/>
  <c r="F80" i="4"/>
  <c r="W80" i="4"/>
  <c r="Q79" i="4"/>
  <c r="F96" i="4"/>
  <c r="F79" i="4"/>
  <c r="W79" i="4"/>
  <c r="Q78" i="4"/>
  <c r="F95" i="4"/>
  <c r="F78" i="4"/>
  <c r="W78" i="4"/>
  <c r="Q77" i="4"/>
  <c r="F94" i="4"/>
  <c r="F77" i="4"/>
  <c r="W77" i="4"/>
  <c r="Q76" i="4"/>
  <c r="F93" i="4"/>
  <c r="F76" i="4"/>
  <c r="W76" i="4"/>
  <c r="Q75" i="4"/>
  <c r="F92" i="4"/>
  <c r="F75" i="4"/>
  <c r="W75" i="4"/>
  <c r="Q74" i="4"/>
  <c r="F91" i="4"/>
  <c r="F74" i="4"/>
  <c r="W74" i="4"/>
  <c r="Q73" i="4"/>
  <c r="F90" i="4"/>
  <c r="F73" i="4"/>
  <c r="W73" i="4"/>
  <c r="Q72" i="4"/>
  <c r="F89" i="4"/>
  <c r="F72" i="4"/>
  <c r="W72" i="4"/>
  <c r="Q71" i="4"/>
  <c r="F88" i="4"/>
  <c r="F71" i="4"/>
  <c r="W71" i="4"/>
  <c r="Q70" i="4"/>
  <c r="F87" i="4"/>
  <c r="F70" i="4"/>
  <c r="W70" i="4"/>
  <c r="Q69" i="4"/>
  <c r="F86" i="4"/>
  <c r="F69" i="4"/>
  <c r="W69" i="4"/>
  <c r="F68" i="4"/>
  <c r="W68" i="4"/>
  <c r="F67" i="4"/>
  <c r="W67" i="4"/>
  <c r="F66" i="4"/>
  <c r="W66" i="4"/>
  <c r="F65" i="4"/>
  <c r="W64" i="4"/>
  <c r="P64" i="4"/>
  <c r="J59" i="4" s="1"/>
  <c r="F64" i="4"/>
  <c r="Q63" i="4"/>
  <c r="F63" i="4"/>
  <c r="Q62" i="4"/>
  <c r="F62" i="4"/>
  <c r="Q61" i="4"/>
  <c r="F61" i="4"/>
  <c r="Q60" i="4"/>
  <c r="F60" i="4"/>
  <c r="V59" i="4"/>
  <c r="J61" i="4" s="1"/>
  <c r="Q59" i="4"/>
  <c r="F59" i="4"/>
  <c r="W58" i="4"/>
  <c r="Q58" i="4"/>
  <c r="F58" i="4"/>
  <c r="W57" i="4"/>
  <c r="Q57" i="4"/>
  <c r="F57" i="4"/>
  <c r="W56" i="4"/>
  <c r="Q56" i="4"/>
  <c r="F56" i="4"/>
  <c r="W55" i="4"/>
  <c r="Q55" i="4"/>
  <c r="F55" i="4"/>
  <c r="W54" i="4"/>
  <c r="Q54" i="4"/>
  <c r="F54" i="4"/>
  <c r="W53" i="4"/>
  <c r="Q53" i="4"/>
  <c r="F53" i="4"/>
  <c r="W52" i="4"/>
  <c r="Q52" i="4"/>
  <c r="F52" i="4"/>
  <c r="W51" i="4"/>
  <c r="Q51" i="4"/>
  <c r="F51" i="4"/>
  <c r="W50" i="4"/>
  <c r="Q50" i="4"/>
  <c r="F50" i="4"/>
  <c r="W49" i="4"/>
  <c r="Q49" i="4"/>
  <c r="F49" i="4"/>
  <c r="W48" i="4"/>
  <c r="Q48" i="4"/>
  <c r="F48" i="4"/>
  <c r="W47" i="4"/>
  <c r="Q47" i="4"/>
  <c r="F47" i="4"/>
  <c r="W46" i="4"/>
  <c r="Q46" i="4"/>
  <c r="J46" i="4"/>
  <c r="J58" i="4" s="1"/>
  <c r="F46" i="4"/>
  <c r="W45" i="4"/>
  <c r="Q45" i="4"/>
  <c r="K45" i="4"/>
  <c r="F45" i="4"/>
  <c r="W44" i="4"/>
  <c r="Q44" i="4"/>
  <c r="K44" i="4"/>
  <c r="F44" i="4"/>
  <c r="W43" i="4"/>
  <c r="Q43" i="4"/>
  <c r="K43" i="4"/>
  <c r="F43" i="4"/>
  <c r="W42" i="4"/>
  <c r="Q42" i="4"/>
  <c r="K42" i="4"/>
  <c r="F42" i="4"/>
  <c r="W41" i="4"/>
  <c r="Q41" i="4"/>
  <c r="K41" i="4"/>
  <c r="F41" i="4"/>
  <c r="W40" i="4"/>
  <c r="Q40" i="4"/>
  <c r="K40" i="4"/>
  <c r="F40" i="4"/>
  <c r="Q39" i="4"/>
  <c r="K39" i="4"/>
  <c r="F39" i="4"/>
  <c r="Q38" i="4"/>
  <c r="K38" i="4"/>
  <c r="F38" i="4"/>
  <c r="Q37" i="4"/>
  <c r="K37" i="4"/>
  <c r="F37" i="4"/>
  <c r="V36" i="4"/>
  <c r="J60" i="4" s="1"/>
  <c r="Q36" i="4"/>
  <c r="K36" i="4"/>
  <c r="F36" i="4"/>
  <c r="W35" i="4"/>
  <c r="Q35" i="4"/>
  <c r="K35" i="4"/>
  <c r="F35" i="4"/>
  <c r="W34" i="4"/>
  <c r="Q34" i="4"/>
  <c r="K34" i="4"/>
  <c r="F34" i="4"/>
  <c r="W33" i="4"/>
  <c r="Q33" i="4"/>
  <c r="K33" i="4"/>
  <c r="F33" i="4"/>
  <c r="W32" i="4"/>
  <c r="Q32" i="4"/>
  <c r="K32" i="4"/>
  <c r="F32" i="4"/>
  <c r="W31" i="4"/>
  <c r="Q31" i="4"/>
  <c r="K31" i="4"/>
  <c r="F31" i="4"/>
  <c r="W30" i="4"/>
  <c r="Q30" i="4"/>
  <c r="K30" i="4"/>
  <c r="F30" i="4"/>
  <c r="W29" i="4"/>
  <c r="Q29" i="4"/>
  <c r="K29" i="4"/>
  <c r="F29" i="4"/>
  <c r="W28" i="4"/>
  <c r="Q28" i="4"/>
  <c r="K28" i="4"/>
  <c r="F28" i="4"/>
  <c r="W27" i="4"/>
  <c r="Q27" i="4"/>
  <c r="K27" i="4"/>
  <c r="F27" i="4"/>
  <c r="W26" i="4"/>
  <c r="Q26" i="4"/>
  <c r="K26" i="4"/>
  <c r="F26" i="4"/>
  <c r="W25" i="4"/>
  <c r="Q25" i="4"/>
  <c r="K25" i="4"/>
  <c r="F25" i="4"/>
  <c r="W24" i="4"/>
  <c r="Q24" i="4"/>
  <c r="K24" i="4"/>
  <c r="W23" i="4"/>
  <c r="Q23" i="4"/>
  <c r="K23" i="4"/>
  <c r="F23" i="4"/>
  <c r="W22" i="4"/>
  <c r="Q22" i="4"/>
  <c r="K22" i="4"/>
  <c r="F22" i="4"/>
  <c r="W21" i="4"/>
  <c r="Q21" i="4"/>
  <c r="K21" i="4"/>
  <c r="F21" i="4"/>
  <c r="W20" i="4"/>
  <c r="Q20" i="4"/>
  <c r="K20" i="4"/>
  <c r="F20" i="4"/>
  <c r="W19" i="4"/>
  <c r="Q19" i="4"/>
  <c r="K19" i="4"/>
  <c r="F19" i="4"/>
  <c r="W18" i="4"/>
  <c r="Q18" i="4"/>
  <c r="K18" i="4"/>
  <c r="F18" i="4"/>
  <c r="W17" i="4"/>
  <c r="Q17" i="4"/>
  <c r="K17" i="4"/>
  <c r="F17" i="4"/>
  <c r="W16" i="4"/>
  <c r="Q16" i="4"/>
  <c r="K16" i="4"/>
  <c r="F16" i="4"/>
  <c r="W15" i="4"/>
  <c r="Q15" i="4"/>
  <c r="K15" i="4"/>
  <c r="F15" i="4"/>
  <c r="W14" i="4"/>
  <c r="Q14" i="4"/>
  <c r="K14" i="4"/>
  <c r="F14" i="4"/>
  <c r="W13" i="4"/>
  <c r="Q13" i="4"/>
  <c r="K13" i="4"/>
  <c r="F13" i="4"/>
  <c r="W12" i="4"/>
  <c r="Q12" i="4"/>
  <c r="K12" i="4"/>
  <c r="F12" i="4"/>
  <c r="W11" i="4"/>
  <c r="Q11" i="4"/>
  <c r="K11" i="4"/>
  <c r="F11" i="4"/>
  <c r="W10" i="4"/>
  <c r="Q10" i="4"/>
  <c r="K10" i="4"/>
  <c r="F10" i="4"/>
  <c r="W9" i="4"/>
  <c r="Q9" i="4"/>
  <c r="K9" i="4"/>
  <c r="F9" i="4"/>
  <c r="Q84" i="4" l="1"/>
  <c r="K63" i="4" s="1"/>
  <c r="K46" i="4"/>
  <c r="K58" i="4" s="1"/>
  <c r="Q64" i="4"/>
  <c r="K59" i="4" s="1"/>
  <c r="W36" i="4"/>
  <c r="K60" i="4" s="1"/>
  <c r="W59" i="4"/>
  <c r="K61" i="4" s="1"/>
  <c r="W83" i="4"/>
  <c r="K62" i="4" s="1"/>
  <c r="F103" i="4"/>
  <c r="K57" i="4" s="1"/>
  <c r="H39" i="1"/>
  <c r="K5" i="1" s="1"/>
  <c r="J64" i="4"/>
  <c r="C5" i="4" s="1"/>
  <c r="K64" i="4" l="1"/>
  <c r="F5" i="4" s="1"/>
</calcChain>
</file>

<file path=xl/sharedStrings.xml><?xml version="1.0" encoding="utf-8"?>
<sst xmlns="http://schemas.openxmlformats.org/spreadsheetml/2006/main" count="1655" uniqueCount="902">
  <si>
    <t xml:space="preserve">             Sub.Ctg  :-</t>
  </si>
  <si>
    <t>GEN</t>
  </si>
  <si>
    <t xml:space="preserve">      Casting Pcs  :-  </t>
  </si>
  <si>
    <t>Dia Pcs</t>
  </si>
  <si>
    <t>Metal</t>
  </si>
  <si>
    <t>18k</t>
  </si>
  <si>
    <t>9kt</t>
  </si>
  <si>
    <t>DV</t>
  </si>
  <si>
    <t>Dia Wt</t>
  </si>
  <si>
    <t>Tikali</t>
  </si>
  <si>
    <t>14k</t>
  </si>
  <si>
    <t>Silver</t>
  </si>
  <si>
    <t>Platinum950</t>
  </si>
  <si>
    <t>Shaph</t>
  </si>
  <si>
    <t>OD</t>
  </si>
  <si>
    <t>ID</t>
  </si>
  <si>
    <t>Pcs</t>
  </si>
  <si>
    <t>SHAPE</t>
  </si>
  <si>
    <t>SIEVE SIZE</t>
  </si>
  <si>
    <t>MM SIZE</t>
  </si>
  <si>
    <t>PTS</t>
  </si>
  <si>
    <t>QTY.</t>
  </si>
  <si>
    <t>WEIGHT</t>
  </si>
  <si>
    <t>RND</t>
  </si>
  <si>
    <t>EMR</t>
  </si>
  <si>
    <t>7X5</t>
  </si>
  <si>
    <t>Total</t>
  </si>
  <si>
    <t>CREATED BY :</t>
  </si>
  <si>
    <t>DIAMOND CHART</t>
  </si>
  <si>
    <t>MEZZARIA JEWELS</t>
  </si>
  <si>
    <t>PCS</t>
  </si>
  <si>
    <t>WT.</t>
  </si>
  <si>
    <t>TOTAL</t>
  </si>
  <si>
    <t>ROUND</t>
  </si>
  <si>
    <t>Taper-Bugget</t>
  </si>
  <si>
    <t>PRINCESS</t>
  </si>
  <si>
    <t>PEAR</t>
  </si>
  <si>
    <t>M.M. SIZE</t>
  </si>
  <si>
    <t>SIZE</t>
  </si>
  <si>
    <t>+0000-000</t>
  </si>
  <si>
    <t>***</t>
  </si>
  <si>
    <t>3x2</t>
  </si>
  <si>
    <t>+000-00</t>
  </si>
  <si>
    <t>3.3x2.2</t>
  </si>
  <si>
    <t>+00-0.5</t>
  </si>
  <si>
    <t>3.5x2.3</t>
  </si>
  <si>
    <t>+0.5-1.0</t>
  </si>
  <si>
    <t>3.8x2.5</t>
  </si>
  <si>
    <t>+1.0-1.5</t>
  </si>
  <si>
    <t>4x2.5</t>
  </si>
  <si>
    <t>+1.5-2.0</t>
  </si>
  <si>
    <t>4.3x2.7</t>
  </si>
  <si>
    <t>+2.0-2.5</t>
  </si>
  <si>
    <t>1.6X.8</t>
  </si>
  <si>
    <t>4.7x3.2</t>
  </si>
  <si>
    <t>+2.5-3.0</t>
  </si>
  <si>
    <t>1.7X.9</t>
  </si>
  <si>
    <t>4.8x3.3</t>
  </si>
  <si>
    <t>+3.0-3.5</t>
  </si>
  <si>
    <t>1.8X.9</t>
  </si>
  <si>
    <t>5x3.5</t>
  </si>
  <si>
    <t>+3.5-4.0</t>
  </si>
  <si>
    <t>1.9X1</t>
  </si>
  <si>
    <t>5.1x3.7</t>
  </si>
  <si>
    <t>+4.0-4.5</t>
  </si>
  <si>
    <t>2X1</t>
  </si>
  <si>
    <t>5.3x4</t>
  </si>
  <si>
    <t>+4.5-5.0</t>
  </si>
  <si>
    <t>2.1X1</t>
  </si>
  <si>
    <t>5.4x4.2</t>
  </si>
  <si>
    <t>+5.0-5.5</t>
  </si>
  <si>
    <t>2.2X1.1</t>
  </si>
  <si>
    <t>5.6x4.3</t>
  </si>
  <si>
    <t>+5.5-6.0</t>
  </si>
  <si>
    <t>2.3X1.1</t>
  </si>
  <si>
    <t>6.6X4.3</t>
  </si>
  <si>
    <t>+6.0-6.5</t>
  </si>
  <si>
    <t>5.8x4.5</t>
  </si>
  <si>
    <t>MELE</t>
  </si>
  <si>
    <t>7.5X4.9</t>
  </si>
  <si>
    <t>+6.5-7.0</t>
  </si>
  <si>
    <t>5.1X3.7</t>
  </si>
  <si>
    <t>+7.0-7.5</t>
  </si>
  <si>
    <t>+7.5-8.0</t>
  </si>
  <si>
    <t>+8.0-8.5</t>
  </si>
  <si>
    <t>8.4X5.6</t>
  </si>
  <si>
    <t>+8.5-9.0</t>
  </si>
  <si>
    <t>9.7X6.3</t>
  </si>
  <si>
    <t>+9.0-9.5</t>
  </si>
  <si>
    <t>10x7</t>
  </si>
  <si>
    <t>+9.5-10.0</t>
  </si>
  <si>
    <t>11x7</t>
  </si>
  <si>
    <t>+10.0-10.5</t>
  </si>
  <si>
    <t>12x8</t>
  </si>
  <si>
    <t>+10.5-11.0</t>
  </si>
  <si>
    <t>13x9</t>
  </si>
  <si>
    <t>+11.0-11.5</t>
  </si>
  <si>
    <t>15x10</t>
  </si>
  <si>
    <t>+11.5-12.0</t>
  </si>
  <si>
    <t>16x12</t>
  </si>
  <si>
    <t>+12.0-12.5</t>
  </si>
  <si>
    <t>+12.5-13.0</t>
  </si>
  <si>
    <t>1.9X.9X.7</t>
  </si>
  <si>
    <t>+13.0-13.5</t>
  </si>
  <si>
    <t>1.7X1X.8</t>
  </si>
  <si>
    <t>MARQUIES</t>
  </si>
  <si>
    <t>+13.5-14.0</t>
  </si>
  <si>
    <t>1.8X1X.8</t>
  </si>
  <si>
    <t>+14.0-14.5</t>
  </si>
  <si>
    <t>1.9X1.1X.9</t>
  </si>
  <si>
    <t>3x1.5</t>
  </si>
  <si>
    <t>+14.5-15.0</t>
  </si>
  <si>
    <t>2X1.1X.9</t>
  </si>
  <si>
    <t>3.3x1.7</t>
  </si>
  <si>
    <t>+15.0-15.5</t>
  </si>
  <si>
    <t>2.1X1.1X.9</t>
  </si>
  <si>
    <t>3.5x1.7</t>
  </si>
  <si>
    <t>+15.5-16.0</t>
  </si>
  <si>
    <t>2.2X1.2X1</t>
  </si>
  <si>
    <t>3.6x1.8</t>
  </si>
  <si>
    <t>+16.0-16.5</t>
  </si>
  <si>
    <t>2.3X1.2X1</t>
  </si>
  <si>
    <t>4x2</t>
  </si>
  <si>
    <t>+16.5-17.0</t>
  </si>
  <si>
    <t>5X2.25</t>
  </si>
  <si>
    <t>4.2x2.1</t>
  </si>
  <si>
    <t>+17.0-17.5</t>
  </si>
  <si>
    <t>TAPER</t>
  </si>
  <si>
    <t>4.5x2.3</t>
  </si>
  <si>
    <t>+17.5-18</t>
  </si>
  <si>
    <t>5x2.5</t>
  </si>
  <si>
    <t>+18.0-18.5</t>
  </si>
  <si>
    <t>5.3x2.6</t>
  </si>
  <si>
    <t>+18.5-19.0</t>
  </si>
  <si>
    <t>IMP NOTE:-</t>
  </si>
  <si>
    <t>GREEN:- 1st Prefference</t>
  </si>
  <si>
    <t>5.5x2.7</t>
  </si>
  <si>
    <t>+19.0-19.5</t>
  </si>
  <si>
    <t>+19.5-20.0</t>
  </si>
  <si>
    <t>BLUE:- 2nd Prefference</t>
  </si>
  <si>
    <t>+20.0-20.5</t>
  </si>
  <si>
    <t>6X3</t>
  </si>
  <si>
    <t>+20.5</t>
  </si>
  <si>
    <t>RED:- NOT TO USE</t>
  </si>
  <si>
    <t>7.5X4</t>
  </si>
  <si>
    <t>****</t>
  </si>
  <si>
    <t>8.9X4.5</t>
  </si>
  <si>
    <t>9.8X5</t>
  </si>
  <si>
    <t>STONE</t>
  </si>
  <si>
    <t>11.8X5.9</t>
  </si>
  <si>
    <t>14x7</t>
  </si>
  <si>
    <t>16x8</t>
  </si>
  <si>
    <t>MARQUISE</t>
  </si>
  <si>
    <t>OVAL</t>
  </si>
  <si>
    <t>EMERALD</t>
  </si>
  <si>
    <t>3.5x2.5</t>
  </si>
  <si>
    <t>5x3</t>
  </si>
  <si>
    <t>5.9X4.4</t>
  </si>
  <si>
    <t>6.8X5</t>
  </si>
  <si>
    <t>7.9X5.5</t>
  </si>
  <si>
    <t>4x3</t>
  </si>
  <si>
    <t>8.7X6.4</t>
  </si>
  <si>
    <t>5x4</t>
  </si>
  <si>
    <t>10x8</t>
  </si>
  <si>
    <t>6X4</t>
  </si>
  <si>
    <t>11x9</t>
  </si>
  <si>
    <t>6.5X4.5</t>
  </si>
  <si>
    <t>12x10</t>
  </si>
  <si>
    <t>14x10</t>
  </si>
  <si>
    <t>7.5X5.5</t>
  </si>
  <si>
    <t>14x12</t>
  </si>
  <si>
    <t>16x10</t>
  </si>
  <si>
    <t>18x13</t>
  </si>
  <si>
    <t>20x15</t>
  </si>
  <si>
    <t>22x15</t>
  </si>
  <si>
    <t>23x17</t>
  </si>
  <si>
    <t>25x18</t>
  </si>
  <si>
    <t>27x20</t>
  </si>
  <si>
    <t>30x22</t>
  </si>
  <si>
    <t>KALISTA JEWELS</t>
  </si>
  <si>
    <t>+0000</t>
  </si>
  <si>
    <t>+000</t>
  </si>
  <si>
    <t>00-0</t>
  </si>
  <si>
    <t>+00</t>
  </si>
  <si>
    <t>0-1</t>
  </si>
  <si>
    <t>+7</t>
  </si>
  <si>
    <t>+0.5</t>
  </si>
  <si>
    <t>1--1.5</t>
  </si>
  <si>
    <t>+1.0</t>
  </si>
  <si>
    <t>1.5--2</t>
  </si>
  <si>
    <t>+13-18</t>
  </si>
  <si>
    <t>+1.5</t>
  </si>
  <si>
    <t>2--2.5</t>
  </si>
  <si>
    <t>+2.0</t>
  </si>
  <si>
    <t>2.5--3</t>
  </si>
  <si>
    <t>+18-22.5</t>
  </si>
  <si>
    <t>+2.5</t>
  </si>
  <si>
    <t>3--3.5</t>
  </si>
  <si>
    <t>+3.0</t>
  </si>
  <si>
    <t>3.5--4</t>
  </si>
  <si>
    <t>+3.5</t>
  </si>
  <si>
    <t>4--4.5</t>
  </si>
  <si>
    <t>+22.5-30</t>
  </si>
  <si>
    <t>+4.0</t>
  </si>
  <si>
    <t>4.5--5</t>
  </si>
  <si>
    <t>+4.5</t>
  </si>
  <si>
    <t>5--5.5</t>
  </si>
  <si>
    <t>+5.0</t>
  </si>
  <si>
    <t>5.5--6</t>
  </si>
  <si>
    <t>+30-38</t>
  </si>
  <si>
    <t>+5.5</t>
  </si>
  <si>
    <t>6--6.5</t>
  </si>
  <si>
    <t>5.7x4.5</t>
  </si>
  <si>
    <t>+6.0</t>
  </si>
  <si>
    <t>6.5--7</t>
  </si>
  <si>
    <t>+38-45</t>
  </si>
  <si>
    <t>7--7.5</t>
  </si>
  <si>
    <t>6x4.5</t>
  </si>
  <si>
    <t>+6.5</t>
  </si>
  <si>
    <t>7.5--8</t>
  </si>
  <si>
    <t>+45-70</t>
  </si>
  <si>
    <t>7x5</t>
  </si>
  <si>
    <t>+7.0</t>
  </si>
  <si>
    <t>8--8.5</t>
  </si>
  <si>
    <t>+70-90</t>
  </si>
  <si>
    <t>7.4x5</t>
  </si>
  <si>
    <t>+7.5</t>
  </si>
  <si>
    <t>8.5--9</t>
  </si>
  <si>
    <t>7.8x5</t>
  </si>
  <si>
    <t>+8.0</t>
  </si>
  <si>
    <t>9--9.5</t>
  </si>
  <si>
    <t>8x5</t>
  </si>
  <si>
    <t>+8.5</t>
  </si>
  <si>
    <t>9.5--10</t>
  </si>
  <si>
    <t>9x6</t>
  </si>
  <si>
    <t>+9.0</t>
  </si>
  <si>
    <t>10--10.5</t>
  </si>
  <si>
    <t>+9.5</t>
  </si>
  <si>
    <t>10.5--11</t>
  </si>
  <si>
    <t>+10.0</t>
  </si>
  <si>
    <t>11--11.5</t>
  </si>
  <si>
    <t>+10.5</t>
  </si>
  <si>
    <t>11.5--12</t>
  </si>
  <si>
    <t>+11.0</t>
  </si>
  <si>
    <t>12--12.5</t>
  </si>
  <si>
    <t>+11.5</t>
  </si>
  <si>
    <t>12.5--13</t>
  </si>
  <si>
    <t>+12.0</t>
  </si>
  <si>
    <t>13--13.5</t>
  </si>
  <si>
    <t>+12.5</t>
  </si>
  <si>
    <t>13.5--14</t>
  </si>
  <si>
    <t>+13.0</t>
  </si>
  <si>
    <t>14--14.5</t>
  </si>
  <si>
    <t>+13.5</t>
  </si>
  <si>
    <t>14.5--15</t>
  </si>
  <si>
    <t>+14.0</t>
  </si>
  <si>
    <t>15--15.5</t>
  </si>
  <si>
    <t>+14.5</t>
  </si>
  <si>
    <t>15.5--16</t>
  </si>
  <si>
    <t>+15.0</t>
  </si>
  <si>
    <t>16--16.5</t>
  </si>
  <si>
    <t>+15.5</t>
  </si>
  <si>
    <t>16.5--17</t>
  </si>
  <si>
    <t>+16.0</t>
  </si>
  <si>
    <t>17--17.5</t>
  </si>
  <si>
    <t>+16.5</t>
  </si>
  <si>
    <t>17.5--18</t>
  </si>
  <si>
    <t>+17.0</t>
  </si>
  <si>
    <t>18--18.5</t>
  </si>
  <si>
    <t>+17.5</t>
  </si>
  <si>
    <t>18.5--19</t>
  </si>
  <si>
    <t>+18</t>
  </si>
  <si>
    <t>19--19.5</t>
  </si>
  <si>
    <t>+18.5</t>
  </si>
  <si>
    <t>19.5--20</t>
  </si>
  <si>
    <t>+19.0</t>
  </si>
  <si>
    <t>6x3</t>
  </si>
  <si>
    <t>+19.5</t>
  </si>
  <si>
    <t>6.4x3.2</t>
  </si>
  <si>
    <t>+20</t>
  </si>
  <si>
    <t>7x3.5</t>
  </si>
  <si>
    <t>8x4</t>
  </si>
  <si>
    <t>9x4.5</t>
  </si>
  <si>
    <t>10x5</t>
  </si>
  <si>
    <t>12x6</t>
  </si>
  <si>
    <t xml:space="preserve">5 X 3 </t>
  </si>
  <si>
    <t>6 X 4</t>
  </si>
  <si>
    <t>7 X 5</t>
  </si>
  <si>
    <t>8 X 6</t>
  </si>
  <si>
    <t>9 X 7</t>
  </si>
  <si>
    <t>4  X 3</t>
  </si>
  <si>
    <t>10 X 8</t>
  </si>
  <si>
    <t xml:space="preserve">5  X 4 </t>
  </si>
  <si>
    <t>11 X 9</t>
  </si>
  <si>
    <t xml:space="preserve">6  X 4 </t>
  </si>
  <si>
    <t xml:space="preserve">12 X 10 </t>
  </si>
  <si>
    <t>14 X 10</t>
  </si>
  <si>
    <t>14 X 12</t>
  </si>
  <si>
    <t>16 X 12</t>
  </si>
  <si>
    <t>18 X 13</t>
  </si>
  <si>
    <t>20 X 15</t>
  </si>
  <si>
    <t>22 X 15</t>
  </si>
  <si>
    <t>23 X 17</t>
  </si>
  <si>
    <t>25 X 18</t>
  </si>
  <si>
    <t>27 X 20</t>
  </si>
  <si>
    <t>30 X 22</t>
  </si>
  <si>
    <t>INSIDE DIAMETER</t>
  </si>
  <si>
    <t>US</t>
  </si>
  <si>
    <t>UK</t>
  </si>
  <si>
    <t>GERMANY</t>
  </si>
  <si>
    <t>SPAIN</t>
  </si>
  <si>
    <t>FRANCE</t>
  </si>
  <si>
    <t>ITALY</t>
  </si>
  <si>
    <t>JAPAN</t>
  </si>
  <si>
    <t>14 mm</t>
  </si>
  <si>
    <t>F</t>
  </si>
  <si>
    <t>44 (14.0)</t>
  </si>
  <si>
    <t>14.5 mm</t>
  </si>
  <si>
    <t>G</t>
  </si>
  <si>
    <t>N/A</t>
  </si>
  <si>
    <t>5,5</t>
  </si>
  <si>
    <t>15 mm</t>
  </si>
  <si>
    <t>H</t>
  </si>
  <si>
    <t>47 (15.0)</t>
  </si>
  <si>
    <t>6,5</t>
  </si>
  <si>
    <t>15.3 mm</t>
  </si>
  <si>
    <t>I</t>
  </si>
  <si>
    <t>48 (15.3)</t>
  </si>
  <si>
    <t>15.6 mm</t>
  </si>
  <si>
    <t>J</t>
  </si>
  <si>
    <t>49 (15.6)</t>
  </si>
  <si>
    <t>9,5</t>
  </si>
  <si>
    <t>16.2 mm</t>
  </si>
  <si>
    <t>K</t>
  </si>
  <si>
    <t>51 (16.2)</t>
  </si>
  <si>
    <t>10,5</t>
  </si>
  <si>
    <t>16.6 mm</t>
  </si>
  <si>
    <t>L</t>
  </si>
  <si>
    <t>52 (16.6)</t>
  </si>
  <si>
    <t>16.9 mm</t>
  </si>
  <si>
    <t>M</t>
  </si>
  <si>
    <t>53 (16.9)</t>
  </si>
  <si>
    <t>13,5</t>
  </si>
  <si>
    <t>12,5</t>
  </si>
  <si>
    <t>17.2 mm</t>
  </si>
  <si>
    <t>N</t>
  </si>
  <si>
    <t>54 (17.2)</t>
  </si>
  <si>
    <t>14,5</t>
  </si>
  <si>
    <t>17.8 mm</t>
  </si>
  <si>
    <t>O</t>
  </si>
  <si>
    <t>56 (17.8)</t>
  </si>
  <si>
    <t>18.1 mm</t>
  </si>
  <si>
    <t>P</t>
  </si>
  <si>
    <t>57 (18.1)</t>
  </si>
  <si>
    <t>18.5 mm</t>
  </si>
  <si>
    <t>Q</t>
  </si>
  <si>
    <t>58 (18.5)</t>
  </si>
  <si>
    <t>18,5</t>
  </si>
  <si>
    <t>17,5</t>
  </si>
  <si>
    <t>19.1 mm</t>
  </si>
  <si>
    <t>R</t>
  </si>
  <si>
    <t>60 (19.1)</t>
  </si>
  <si>
    <t>19.4 mm</t>
  </si>
  <si>
    <t>S</t>
  </si>
  <si>
    <t>61 (19.4)</t>
  </si>
  <si>
    <t>19.7 mm</t>
  </si>
  <si>
    <t>T</t>
  </si>
  <si>
    <t>62 (19.7)</t>
  </si>
  <si>
    <t>22,5</t>
  </si>
  <si>
    <t>21,5</t>
  </si>
  <si>
    <t>20.4 mm</t>
  </si>
  <si>
    <t>U</t>
  </si>
  <si>
    <t>64 (20.4)</t>
  </si>
  <si>
    <t>23,5</t>
  </si>
  <si>
    <t>20.7 mm</t>
  </si>
  <si>
    <t>V</t>
  </si>
  <si>
    <t>65 (20.7)</t>
  </si>
  <si>
    <t>21.0 mm</t>
  </si>
  <si>
    <t>W</t>
  </si>
  <si>
    <t>66 (21.0)</t>
  </si>
  <si>
    <t>21.6 mm</t>
  </si>
  <si>
    <t>X</t>
  </si>
  <si>
    <t>68 (21.6)</t>
  </si>
  <si>
    <t>27,5</t>
  </si>
  <si>
    <t>26,5</t>
  </si>
  <si>
    <t>22.0 mm</t>
  </si>
  <si>
    <t>Y</t>
  </si>
  <si>
    <t>69 (22.0)</t>
  </si>
  <si>
    <t>22.3 mm</t>
  </si>
  <si>
    <t>Z</t>
  </si>
  <si>
    <t>70 (22.3)</t>
  </si>
  <si>
    <t>28,5</t>
  </si>
  <si>
    <t>22.9 mm</t>
  </si>
  <si>
    <t>Z+2</t>
  </si>
  <si>
    <t>72 (22.9)</t>
  </si>
  <si>
    <t>23.2 mm</t>
  </si>
  <si>
    <t>Z+3</t>
  </si>
  <si>
    <t>73 (23.2)</t>
  </si>
  <si>
    <t>23.6 mm</t>
  </si>
  <si>
    <t>Z+4</t>
  </si>
  <si>
    <t>74 (23.6)</t>
  </si>
  <si>
    <t>34,5</t>
  </si>
  <si>
    <t>Z+5</t>
  </si>
  <si>
    <t>Trillian / CUSION</t>
  </si>
  <si>
    <t>5X3</t>
  </si>
  <si>
    <t>3X1.5</t>
  </si>
  <si>
    <t>4X2</t>
  </si>
  <si>
    <t>6x4</t>
  </si>
  <si>
    <t>8X6</t>
  </si>
  <si>
    <t>5X2.5</t>
  </si>
  <si>
    <t>9X7</t>
  </si>
  <si>
    <t>8x6</t>
  </si>
  <si>
    <t>10X8</t>
  </si>
  <si>
    <t>7X3.5</t>
  </si>
  <si>
    <t>9x7</t>
  </si>
  <si>
    <t>11X9</t>
  </si>
  <si>
    <t>8X4</t>
  </si>
  <si>
    <t>12X6</t>
  </si>
  <si>
    <t>KIT</t>
  </si>
  <si>
    <t>DIA</t>
  </si>
  <si>
    <t>BUGGET</t>
  </si>
  <si>
    <t>TAP BUG</t>
  </si>
  <si>
    <t>7X4</t>
  </si>
  <si>
    <t>2X1X.8</t>
  </si>
  <si>
    <t>8X5</t>
  </si>
  <si>
    <t>3X2X1</t>
  </si>
  <si>
    <t>3X2</t>
  </si>
  <si>
    <t>4X2X1</t>
  </si>
  <si>
    <t>12X10</t>
  </si>
  <si>
    <t>3.5X1.5</t>
  </si>
  <si>
    <t>Kharbuja</t>
  </si>
  <si>
    <t xml:space="preserve">Drop </t>
  </si>
  <si>
    <t>Ball</t>
  </si>
  <si>
    <t>5 mm</t>
  </si>
  <si>
    <t>5x3 mm</t>
  </si>
  <si>
    <t>3 mm</t>
  </si>
  <si>
    <t>6 mm</t>
  </si>
  <si>
    <t>6x4 mm</t>
  </si>
  <si>
    <t>4 mm</t>
  </si>
  <si>
    <t>7 mm</t>
  </si>
  <si>
    <t>7x5 mm</t>
  </si>
  <si>
    <t>8 mm</t>
  </si>
  <si>
    <t>9x6 mm</t>
  </si>
  <si>
    <t>9 mm</t>
  </si>
  <si>
    <t>12x7 mm</t>
  </si>
  <si>
    <t>7x4 mm</t>
  </si>
  <si>
    <t>12x9 mm</t>
  </si>
  <si>
    <t>10 mm</t>
  </si>
  <si>
    <t>10x6 mm</t>
  </si>
  <si>
    <t>RING SIZE</t>
  </si>
  <si>
    <t>NO</t>
  </si>
  <si>
    <t>INDIAN</t>
  </si>
  <si>
    <t xml:space="preserve">mm </t>
  </si>
  <si>
    <t xml:space="preserve"> CIRCUMFERENCE  </t>
  </si>
  <si>
    <r>
      <rPr>
        <b/>
        <sz val="12"/>
        <color rgb="FFFFFFFF"/>
        <rFont val="Arial"/>
        <family val="2"/>
      </rPr>
      <t>International Ring Size Chart</t>
    </r>
  </si>
  <si>
    <t xml:space="preserve">US / Canada
</t>
  </si>
  <si>
    <t xml:space="preserve">UK / Australia / South Africa
</t>
  </si>
  <si>
    <t xml:space="preserve">France
</t>
  </si>
  <si>
    <t xml:space="preserve">Germany / Russia / Ukraine
</t>
  </si>
  <si>
    <r>
      <rPr>
        <b/>
        <sz val="12"/>
        <rFont val="Arial"/>
        <family val="2"/>
      </rPr>
      <t xml:space="preserve">India / China / Japan  / Turkey
/ Israel
</t>
    </r>
  </si>
  <si>
    <t xml:space="preserve">Italy / Spain / Netherlands / Switzerland
</t>
  </si>
  <si>
    <t>½</t>
  </si>
  <si>
    <t>A</t>
  </si>
  <si>
    <t>---</t>
  </si>
  <si>
    <t>2-</t>
  </si>
  <si>
    <t>B</t>
  </si>
  <si>
    <t>1 1/2</t>
  </si>
  <si>
    <t>C</t>
  </si>
  <si>
    <t>3-</t>
  </si>
  <si>
    <t>D</t>
  </si>
  <si>
    <t>41 1/2</t>
  </si>
  <si>
    <t>13 1/4</t>
  </si>
  <si>
    <t>3=</t>
  </si>
  <si>
    <t>2 1/4</t>
  </si>
  <si>
    <t>D-½</t>
  </si>
  <si>
    <t>42 1/8</t>
  </si>
  <si>
    <t>13 1/2</t>
  </si>
  <si>
    <t>2.1 ANNA</t>
  </si>
  <si>
    <t>2 1/2</t>
  </si>
  <si>
    <t>E</t>
  </si>
  <si>
    <t>42 3/4</t>
  </si>
  <si>
    <t>13 3/4</t>
  </si>
  <si>
    <t>2 3/4</t>
  </si>
  <si>
    <t>4-</t>
  </si>
  <si>
    <t>2.2 ANNA</t>
  </si>
  <si>
    <t>E-½</t>
  </si>
  <si>
    <t>43 3/8</t>
  </si>
  <si>
    <t>3 3/8</t>
  </si>
  <si>
    <t>2.3 ANNA</t>
  </si>
  <si>
    <t>5-</t>
  </si>
  <si>
    <t>2.4 ANNA</t>
  </si>
  <si>
    <t>3 1/4</t>
  </si>
  <si>
    <t>F-½</t>
  </si>
  <si>
    <t>44 5/8</t>
  </si>
  <si>
    <t>14 1/4</t>
  </si>
  <si>
    <t>4 5/8</t>
  </si>
  <si>
    <t>5=</t>
  </si>
  <si>
    <t>2.5 ANNA</t>
  </si>
  <si>
    <t>3 1/2</t>
  </si>
  <si>
    <t>45 1/4</t>
  </si>
  <si>
    <t>14 1/2</t>
  </si>
  <si>
    <t>5 1/4</t>
  </si>
  <si>
    <t>2.6 ANNA</t>
  </si>
  <si>
    <t>3 3/4</t>
  </si>
  <si>
    <t>G-½</t>
  </si>
  <si>
    <t>45 7/8</t>
  </si>
  <si>
    <t>14 3/4</t>
  </si>
  <si>
    <t>5 7/8</t>
  </si>
  <si>
    <t>6-</t>
  </si>
  <si>
    <t>2.7 ANNA</t>
  </si>
  <si>
    <t>46 1/2</t>
  </si>
  <si>
    <t>6 1/2</t>
  </si>
  <si>
    <t>2.8 ANNA</t>
  </si>
  <si>
    <t>4 1/4</t>
  </si>
  <si>
    <t>H-½</t>
  </si>
  <si>
    <t>47 1/8</t>
  </si>
  <si>
    <t>7 1/8</t>
  </si>
  <si>
    <t>7-</t>
  </si>
  <si>
    <t>2.9 ANNA</t>
  </si>
  <si>
    <t>4 1/2</t>
  </si>
  <si>
    <t>47 3/4</t>
  </si>
  <si>
    <t>15 1/4</t>
  </si>
  <si>
    <t>7 3/4</t>
  </si>
  <si>
    <t>7=</t>
  </si>
  <si>
    <t>4 3/4</t>
  </si>
  <si>
    <t>48 3/8</t>
  </si>
  <si>
    <t>15 1/2</t>
  </si>
  <si>
    <t>8 3/8</t>
  </si>
  <si>
    <t>J-½</t>
  </si>
  <si>
    <t>15 3/4</t>
  </si>
  <si>
    <t>8-</t>
  </si>
  <si>
    <t>49 5/8</t>
  </si>
  <si>
    <t>9 5/8</t>
  </si>
  <si>
    <t>8=</t>
  </si>
  <si>
    <t>1.5875 mm= 1 aani</t>
  </si>
  <si>
    <t>5 1/2</t>
  </si>
  <si>
    <t>K-½</t>
  </si>
  <si>
    <t>50 1/4</t>
  </si>
  <si>
    <t>16 1/4</t>
  </si>
  <si>
    <t>10 1/4</t>
  </si>
  <si>
    <t>2.54cm=1inch</t>
  </si>
  <si>
    <t>5 3/4</t>
  </si>
  <si>
    <t>50 7/8</t>
  </si>
  <si>
    <t>10 7/8</t>
  </si>
  <si>
    <t>9-</t>
  </si>
  <si>
    <t>25.4mm=1inch</t>
  </si>
  <si>
    <t>L-½</t>
  </si>
  <si>
    <t>51 1/2</t>
  </si>
  <si>
    <t>16 1/2</t>
  </si>
  <si>
    <t>11 1/2</t>
  </si>
  <si>
    <t>16 aani=1inch</t>
  </si>
  <si>
    <t>6 1/4</t>
  </si>
  <si>
    <t>52 1/8</t>
  </si>
  <si>
    <t>16 3/4</t>
  </si>
  <si>
    <t>12 1/8</t>
  </si>
  <si>
    <t>10-</t>
  </si>
  <si>
    <t>1 Soot=3.175 MM</t>
  </si>
  <si>
    <t>M-½</t>
  </si>
  <si>
    <t>52 3/4</t>
  </si>
  <si>
    <t>12 3/4</t>
  </si>
  <si>
    <t>10=</t>
  </si>
  <si>
    <t>INCH CONVERT MM / 3.14</t>
  </si>
  <si>
    <t>6 3/4</t>
  </si>
  <si>
    <t>53 3/8</t>
  </si>
  <si>
    <t>13 3/8</t>
  </si>
  <si>
    <t>17 1/4</t>
  </si>
  <si>
    <t>11-</t>
  </si>
  <si>
    <t>DIAMOND WT X 5 = GOLD WT</t>
  </si>
  <si>
    <t>7 1/4</t>
  </si>
  <si>
    <t>O-½</t>
  </si>
  <si>
    <t>54 5/8</t>
  </si>
  <si>
    <t>17 1/2</t>
  </si>
  <si>
    <t>14 5/8</t>
  </si>
  <si>
    <t>7 1/2</t>
  </si>
  <si>
    <t>55 1/4</t>
  </si>
  <si>
    <t>17 3/4</t>
  </si>
  <si>
    <t>12-</t>
  </si>
  <si>
    <t>GOLD WT / 5 = DIAMOND WT</t>
  </si>
  <si>
    <t>P-½</t>
  </si>
  <si>
    <t>55 7/8</t>
  </si>
  <si>
    <t>15 7/8</t>
  </si>
  <si>
    <t>12=</t>
  </si>
  <si>
    <t>56 1/2</t>
  </si>
  <si>
    <t>GROSS GOLD WT WITH DIAMOND WT</t>
  </si>
  <si>
    <t>8 1/4</t>
  </si>
  <si>
    <t>Q-½</t>
  </si>
  <si>
    <t>57 1/8</t>
  </si>
  <si>
    <t>18 1/4</t>
  </si>
  <si>
    <t>17 1/8</t>
  </si>
  <si>
    <t>13-</t>
  </si>
  <si>
    <t>8 1/2</t>
  </si>
  <si>
    <t>57 3/4</t>
  </si>
  <si>
    <t>18 1/2</t>
  </si>
  <si>
    <t>13=</t>
  </si>
  <si>
    <t>NET GOLD  WITHOUT DIAMOND WT</t>
  </si>
  <si>
    <t>8 3/4</t>
  </si>
  <si>
    <t>R-½</t>
  </si>
  <si>
    <t>58 3/8</t>
  </si>
  <si>
    <t>18 3/4</t>
  </si>
  <si>
    <t>18 3/8</t>
  </si>
  <si>
    <t>14-</t>
  </si>
  <si>
    <t>9 1/4</t>
  </si>
  <si>
    <t>S-½</t>
  </si>
  <si>
    <t>59 5/8</t>
  </si>
  <si>
    <t>19 1/4</t>
  </si>
  <si>
    <t>19 5/8</t>
  </si>
  <si>
    <t>9 1/2</t>
  </si>
  <si>
    <t>60 1/4</t>
  </si>
  <si>
    <t>19 1/2</t>
  </si>
  <si>
    <t>20 1/4</t>
  </si>
  <si>
    <t>15-</t>
  </si>
  <si>
    <t>9 3/4</t>
  </si>
  <si>
    <t>60 7/8</t>
  </si>
  <si>
    <t>20 7/8</t>
  </si>
  <si>
    <t>T-½</t>
  </si>
  <si>
    <t>61 1/2</t>
  </si>
  <si>
    <t>19 3/4</t>
  </si>
  <si>
    <t>21 1/2</t>
  </si>
  <si>
    <t>62 1/8</t>
  </si>
  <si>
    <t>22 1/8</t>
  </si>
  <si>
    <t>10 1/2</t>
  </si>
  <si>
    <t>U-½</t>
  </si>
  <si>
    <t>62 3/4</t>
  </si>
  <si>
    <t>22 3/4</t>
  </si>
  <si>
    <t>10 3/4</t>
  </si>
  <si>
    <t>63 3/8</t>
  </si>
  <si>
    <t>20 1/2</t>
  </si>
  <si>
    <t>23 3/8</t>
  </si>
  <si>
    <t>V-½</t>
  </si>
  <si>
    <t>20 3/4</t>
  </si>
  <si>
    <t>11 1/4</t>
  </si>
  <si>
    <t>64 5/8</t>
  </si>
  <si>
    <t>24 5/8</t>
  </si>
  <si>
    <t>W-½</t>
  </si>
  <si>
    <t>65 1/4</t>
  </si>
  <si>
    <t>25 1/4</t>
  </si>
  <si>
    <t>11 3/4</t>
  </si>
  <si>
    <t>65 7/8</t>
  </si>
  <si>
    <t>21 1/4</t>
  </si>
  <si>
    <t>25 7/8</t>
  </si>
  <si>
    <t>66 1/2</t>
  </si>
  <si>
    <t>26 1/2</t>
  </si>
  <si>
    <t>12 1/4</t>
  </si>
  <si>
    <t>Y-½</t>
  </si>
  <si>
    <t>67 1/8</t>
  </si>
  <si>
    <t>27 1/8</t>
  </si>
  <si>
    <t>12 1/2</t>
  </si>
  <si>
    <t>67 3/4</t>
  </si>
  <si>
    <t>21 3/4</t>
  </si>
  <si>
    <t>27 3/4</t>
  </si>
  <si>
    <t>Z-½</t>
  </si>
  <si>
    <t>68 3/8</t>
  </si>
  <si>
    <t>28 3/8</t>
  </si>
  <si>
    <t>RM</t>
  </si>
  <si>
    <t>CODE</t>
  </si>
  <si>
    <t>QUALITY</t>
  </si>
  <si>
    <t>COLOR</t>
  </si>
  <si>
    <t>CUT</t>
  </si>
  <si>
    <t>SUB.CTG</t>
  </si>
  <si>
    <t>CUBIC
ZIRCONIA</t>
  </si>
  <si>
    <t>CZ</t>
  </si>
  <si>
    <t>SYNTHETIC BACK RUFF</t>
  </si>
  <si>
    <t>SBR</t>
  </si>
  <si>
    <t>RED</t>
  </si>
  <si>
    <t>BRIOLETTE</t>
  </si>
  <si>
    <t>BRL</t>
  </si>
  <si>
    <t xml:space="preserve"> (CLASSIC)</t>
  </si>
  <si>
    <t>CLC</t>
  </si>
  <si>
    <t>OVL</t>
  </si>
  <si>
    <t>SYNTHETIC</t>
  </si>
  <si>
    <t>SYN</t>
  </si>
  <si>
    <t>BLUE</t>
  </si>
  <si>
    <t>BLU</t>
  </si>
  <si>
    <t>CABOCHON</t>
  </si>
  <si>
    <t>CAB</t>
  </si>
  <si>
    <t xml:space="preserve"> (COCKTAIL)</t>
  </si>
  <si>
    <t>COK</t>
  </si>
  <si>
    <t>KALISTA'S
COLOR STONE</t>
  </si>
  <si>
    <t>PRS</t>
  </si>
  <si>
    <t>HYDRO BACK RUFF</t>
  </si>
  <si>
    <t>HBR</t>
  </si>
  <si>
    <t>GREEN</t>
  </si>
  <si>
    <t>GRN</t>
  </si>
  <si>
    <t>REGULAR</t>
  </si>
  <si>
    <t>REG</t>
  </si>
  <si>
    <t xml:space="preserve"> (COPMOSITE)</t>
  </si>
  <si>
    <t>COM</t>
  </si>
  <si>
    <t>MRQ</t>
  </si>
  <si>
    <t>HYDRO</t>
  </si>
  <si>
    <t>HYD</t>
  </si>
  <si>
    <t>BLACK</t>
  </si>
  <si>
    <t>BLK</t>
  </si>
  <si>
    <t xml:space="preserve">PLATE(PLAIN) </t>
  </si>
  <si>
    <t>PLT</t>
  </si>
  <si>
    <t xml:space="preserve"> (COLOR STONE)</t>
  </si>
  <si>
    <t>CST</t>
  </si>
  <si>
    <t>PARTY'S
COLOR STONE</t>
  </si>
  <si>
    <t>PC</t>
  </si>
  <si>
    <t>OCTAGON</t>
  </si>
  <si>
    <t>OCT</t>
  </si>
  <si>
    <t>SHELL PEARL</t>
  </si>
  <si>
    <t>SLP</t>
  </si>
  <si>
    <t>WHITE</t>
  </si>
  <si>
    <t>WHT</t>
  </si>
  <si>
    <t>HALF DRILL</t>
  </si>
  <si>
    <t>HDR</t>
  </si>
  <si>
    <t>(FANCY)</t>
  </si>
  <si>
    <t xml:space="preserve">FAN </t>
  </si>
  <si>
    <t>Bugget</t>
  </si>
  <si>
    <t>BUG</t>
  </si>
  <si>
    <t>FRESH W PEARL</t>
  </si>
  <si>
    <t>FWP</t>
  </si>
  <si>
    <t>RHODOLITE</t>
  </si>
  <si>
    <t>ROD</t>
  </si>
  <si>
    <t>FULL DRILL</t>
  </si>
  <si>
    <t>FDR</t>
  </si>
  <si>
    <t xml:space="preserve"> (FILLIGREE)</t>
  </si>
  <si>
    <t>FIL</t>
  </si>
  <si>
    <t>TAP</t>
  </si>
  <si>
    <t>SEMI PRECIOUS</t>
  </si>
  <si>
    <t>SMP</t>
  </si>
  <si>
    <t>PINK</t>
  </si>
  <si>
    <t>PNK</t>
  </si>
  <si>
    <t>ROSE CUT</t>
  </si>
  <si>
    <t>RCT</t>
  </si>
  <si>
    <t>(FLORAL)</t>
  </si>
  <si>
    <t xml:space="preserve">FLR </t>
  </si>
  <si>
    <t>SQUARE</t>
  </si>
  <si>
    <t>PRI</t>
  </si>
  <si>
    <t>ONYX</t>
  </si>
  <si>
    <t>ONX</t>
  </si>
  <si>
    <t>YELLOW</t>
  </si>
  <si>
    <t>YEL</t>
  </si>
  <si>
    <t>SPECIAL CUT</t>
  </si>
  <si>
    <t>SPL</t>
  </si>
  <si>
    <t>(FLOWER)</t>
  </si>
  <si>
    <t xml:space="preserve">FLW </t>
  </si>
  <si>
    <t>TRIANGLE</t>
  </si>
  <si>
    <t>TRI</t>
  </si>
  <si>
    <t>DOUBLET</t>
  </si>
  <si>
    <t>DBT</t>
  </si>
  <si>
    <t>GOLDEN</t>
  </si>
  <si>
    <t>GLD</t>
  </si>
  <si>
    <t xml:space="preserve"> (GENERAL)</t>
  </si>
  <si>
    <t xml:space="preserve">GEN </t>
  </si>
  <si>
    <t>TRILLION</t>
  </si>
  <si>
    <t>TRL</t>
  </si>
  <si>
    <t>MOTHER OF PEARL</t>
  </si>
  <si>
    <t>MOP</t>
  </si>
  <si>
    <t>BLU TOPAZ</t>
  </si>
  <si>
    <t>BTZ</t>
  </si>
  <si>
    <t xml:space="preserve"> (INVISIBILE)</t>
  </si>
  <si>
    <t>INV</t>
  </si>
  <si>
    <t>CUSHION</t>
  </si>
  <si>
    <t>CUS</t>
  </si>
  <si>
    <t>CHALCEDONY</t>
  </si>
  <si>
    <t>CAL</t>
  </si>
  <si>
    <t>AMETHYST</t>
  </si>
  <si>
    <t>AMT</t>
  </si>
  <si>
    <t>(SEMI MOUNTS)</t>
  </si>
  <si>
    <t xml:space="preserve">SEM </t>
  </si>
  <si>
    <t>FANCY</t>
  </si>
  <si>
    <t>FNC</t>
  </si>
  <si>
    <t>TOURMALINE</t>
  </si>
  <si>
    <t>TRM</t>
  </si>
  <si>
    <t>CITRINE</t>
  </si>
  <si>
    <t>CTR</t>
  </si>
  <si>
    <t>(HEAVY WEIGHT)</t>
  </si>
  <si>
    <t xml:space="preserve">HWT </t>
  </si>
  <si>
    <t>HEART</t>
  </si>
  <si>
    <t>HRT</t>
  </si>
  <si>
    <t>PRECIOUS</t>
  </si>
  <si>
    <t>PRC</t>
  </si>
  <si>
    <t>RUBY</t>
  </si>
  <si>
    <t>RUB</t>
  </si>
  <si>
    <t xml:space="preserve"> (LIGHT WEIGHT)</t>
  </si>
  <si>
    <t>LWT</t>
  </si>
  <si>
    <t>BALL</t>
  </si>
  <si>
    <t>BAL</t>
  </si>
  <si>
    <t>EML</t>
  </si>
  <si>
    <t xml:space="preserve"> (TRADITIONAL)</t>
  </si>
  <si>
    <t>TRD</t>
  </si>
  <si>
    <t>BUTTON</t>
  </si>
  <si>
    <t>BUT</t>
  </si>
  <si>
    <t>BLUE SAPPHIRE</t>
  </si>
  <si>
    <t>BLS</t>
  </si>
  <si>
    <t xml:space="preserve"> (DANLINGS)</t>
  </si>
  <si>
    <t xml:space="preserve">DAN </t>
  </si>
  <si>
    <t>DROP</t>
  </si>
  <si>
    <t>DRO</t>
  </si>
  <si>
    <t>YELLOW SAPPHIRE</t>
  </si>
  <si>
    <t>YLS</t>
  </si>
  <si>
    <t>(JHUMKA)</t>
  </si>
  <si>
    <t xml:space="preserve">JUM </t>
  </si>
  <si>
    <t>KHARBUJA</t>
  </si>
  <si>
    <t>KBJ</t>
  </si>
  <si>
    <t>ORANGE</t>
  </si>
  <si>
    <t>ORG</t>
  </si>
  <si>
    <t xml:space="preserve"> (LOOSE)</t>
  </si>
  <si>
    <t>LOS</t>
  </si>
  <si>
    <t>BULLET</t>
  </si>
  <si>
    <t>BLT</t>
  </si>
  <si>
    <t>NAVGRAHA</t>
  </si>
  <si>
    <t>NVG</t>
  </si>
  <si>
    <t xml:space="preserve"> (STIFF)</t>
  </si>
  <si>
    <t>STF</t>
  </si>
  <si>
    <t>LEAF</t>
  </si>
  <si>
    <t>LEF</t>
  </si>
  <si>
    <t>TANZANITE</t>
  </si>
  <si>
    <t>TNZ</t>
  </si>
  <si>
    <t xml:space="preserve"> (J TYPE)</t>
  </si>
  <si>
    <t>JTY</t>
  </si>
  <si>
    <t>FLOWER</t>
  </si>
  <si>
    <t>FLR</t>
  </si>
  <si>
    <t>(U TYPE)</t>
  </si>
  <si>
    <t xml:space="preserve">UTY </t>
  </si>
  <si>
    <t>ROSE</t>
  </si>
  <si>
    <t>ROS</t>
  </si>
  <si>
    <t>(Illusion)</t>
  </si>
  <si>
    <t>ILS</t>
  </si>
  <si>
    <t>KITE</t>
  </si>
  <si>
    <t>DIAMOND</t>
  </si>
  <si>
    <t>EXAMPLES FOR REGULAR MEZZARIA COLOR STONE</t>
  </si>
  <si>
    <t>IF BRIOLETTE</t>
  </si>
  <si>
    <t>COVLSBRRED</t>
  </si>
  <si>
    <t>COVLSBRRED-BRL</t>
  </si>
  <si>
    <t>COVLHBRGRN</t>
  </si>
  <si>
    <t>COVLSBRGRN-BRL</t>
  </si>
  <si>
    <t>COVLSYNBLU</t>
  </si>
  <si>
    <t>COVLSYNBLU-BRL</t>
  </si>
  <si>
    <t>Plain Pipe Bracelate</t>
  </si>
  <si>
    <t>Spring Pipe</t>
  </si>
  <si>
    <t>Ready Chain</t>
  </si>
  <si>
    <t>Waight Ratio</t>
  </si>
  <si>
    <t>MM</t>
  </si>
  <si>
    <t>Inch</t>
  </si>
  <si>
    <t>WT 18k</t>
  </si>
  <si>
    <t>Number</t>
  </si>
  <si>
    <t>Size</t>
  </si>
  <si>
    <t>GW 18kt</t>
  </si>
  <si>
    <t>GW 14kt</t>
  </si>
  <si>
    <t>Category</t>
  </si>
  <si>
    <t>Jewel Cad Wt</t>
  </si>
  <si>
    <t>A4</t>
  </si>
  <si>
    <t>1inch</t>
  </si>
  <si>
    <t>As 000 MS</t>
  </si>
  <si>
    <t>68mm*68mm</t>
  </si>
  <si>
    <t>7 Gram</t>
  </si>
  <si>
    <t>A8</t>
  </si>
  <si>
    <t>RPT</t>
  </si>
  <si>
    <t>Dia.Cut</t>
  </si>
  <si>
    <t>1 Inch</t>
  </si>
  <si>
    <t>Dcc</t>
  </si>
  <si>
    <t>Bid chain</t>
  </si>
  <si>
    <t>1 inch</t>
  </si>
  <si>
    <t>14KT</t>
  </si>
  <si>
    <t xml:space="preserve">SS Belt </t>
  </si>
  <si>
    <t>1mm Hight</t>
  </si>
  <si>
    <t>WT</t>
  </si>
  <si>
    <t>Onex</t>
  </si>
  <si>
    <t>Mother Of Parl</t>
  </si>
  <si>
    <t>MM Size</t>
  </si>
  <si>
    <t>SQR</t>
  </si>
  <si>
    <t>Flower</t>
  </si>
  <si>
    <t>Evel Eye</t>
  </si>
  <si>
    <t>Color</t>
  </si>
  <si>
    <t>Opal Blue</t>
  </si>
  <si>
    <t>15X3.2</t>
  </si>
  <si>
    <t>Blue</t>
  </si>
  <si>
    <t>20x3.4</t>
  </si>
  <si>
    <t>Brown</t>
  </si>
  <si>
    <t>15x3.2</t>
  </si>
  <si>
    <t>Blue,Pink</t>
  </si>
  <si>
    <t>10X3.2</t>
  </si>
  <si>
    <t>Prl Eye</t>
  </si>
  <si>
    <t>14x2.6</t>
  </si>
  <si>
    <t>17.4x2.6</t>
  </si>
  <si>
    <t>HART</t>
  </si>
  <si>
    <t>Opal Pink</t>
  </si>
  <si>
    <t>13x13x3.2</t>
  </si>
  <si>
    <t>Opal Org</t>
  </si>
  <si>
    <t>16x11x3.2</t>
  </si>
  <si>
    <t>14x7x3.3</t>
  </si>
  <si>
    <t>16x8.8x3.3</t>
  </si>
  <si>
    <t>Pink</t>
  </si>
  <si>
    <t>16x8x3.3</t>
  </si>
  <si>
    <t>C:\Program Files (x86)\Adobe\Photoshop 7.0</t>
  </si>
  <si>
    <r>
      <t xml:space="preserve">PEAR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</si>
  <si>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Trillian</t>
  </si>
  <si>
    <r>
      <t xml:space="preserve">KIT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</si>
  <si>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Hight</t>
  </si>
  <si>
    <r>
      <t xml:space="preserve">DIA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</si>
  <si>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MARQUIES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</si>
  <si>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t>Cusion</t>
  </si>
  <si>
    <r>
      <t xml:space="preserve">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</si>
  <si>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3.25X1.5</t>
  </si>
  <si>
    <r>
      <t xml:space="preserve">TAP BUG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</si>
  <si>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r>
      <t xml:space="preserve">OVAL color stone </t>
    </r>
    <r>
      <rPr>
        <sz val="12"/>
        <color rgb="FFFF0000"/>
        <rFont val="Arial Rounded MT Bold"/>
        <family val="2"/>
      </rPr>
      <t xml:space="preserve">Ruby </t>
    </r>
    <r>
      <rPr>
        <sz val="12"/>
        <rFont val="Arial Rounded MT Bold"/>
        <family val="2"/>
      </rPr>
      <t xml:space="preserve">/ </t>
    </r>
    <r>
      <rPr>
        <sz val="12"/>
        <color theme="4"/>
        <rFont val="Arial Rounded MT Bold"/>
        <family val="2"/>
      </rPr>
      <t>Saphire</t>
    </r>
  </si>
  <si>
    <r>
      <t xml:space="preserve">EMERALD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</si>
  <si>
    <t>3X2X1.25</t>
  </si>
  <si>
    <r>
      <t xml:space="preserve">ROUND Color Stone </t>
    </r>
    <r>
      <rPr>
        <sz val="11"/>
        <color rgb="FFFF0000"/>
        <rFont val="Arial Rounded MT Bold"/>
        <family val="2"/>
      </rPr>
      <t>Ruby</t>
    </r>
    <r>
      <rPr>
        <sz val="11"/>
        <rFont val="Arial Rounded MT Bold"/>
        <family val="2"/>
      </rPr>
      <t xml:space="preserve"> / </t>
    </r>
    <r>
      <rPr>
        <sz val="11"/>
        <color theme="4"/>
        <rFont val="Arial Rounded MT Bold"/>
        <family val="2"/>
      </rPr>
      <t>Saphire</t>
    </r>
  </si>
  <si>
    <r>
      <t xml:space="preserve">PRINCESS  </t>
    </r>
    <r>
      <rPr>
        <sz val="12"/>
        <color rgb="FFFF0000"/>
        <rFont val="Arial Rounded MT Bold"/>
        <family val="2"/>
      </rPr>
      <t>Ruby</t>
    </r>
    <r>
      <rPr>
        <sz val="12"/>
        <rFont val="Arial Rounded MT Bold"/>
        <family val="2"/>
      </rPr>
      <t xml:space="preserve"> / </t>
    </r>
    <r>
      <rPr>
        <sz val="12"/>
        <color theme="4"/>
        <rFont val="Arial Rounded MT Bold"/>
        <family val="2"/>
      </rPr>
      <t>Saphire</t>
    </r>
    <r>
      <rPr>
        <sz val="12"/>
        <rFont val="Arial Rounded MT Bold"/>
        <family val="2"/>
      </rPr>
      <t xml:space="preserve"> color stone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</si>
</sst>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75">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0"/>
      <name val="Arial"/>
      <family val="2"/>
    </font>
    <font>
      <sz val="14"/>
      <color theme="1"/>
      <name val="Calibri"/>
      <family val="2"/>
      <scheme val="minor"/>
    </font>
    <font>
      <sz val="12"/>
      <color rgb="FFFF0000"/>
      <name val="Arial Rounded MT Bold"/>
      <family val="2"/>
    </font>
    <font>
      <b/>
      <sz val="12"/>
      <color theme="1"/>
      <name val="Calibri"/>
      <family val="2"/>
      <scheme val="minor"/>
    </font>
    <font>
      <sz val="11"/>
      <color indexed="8"/>
      <name val="Calibri"/>
      <family val="2"/>
      <scheme val="minor"/>
    </font>
    <font>
      <sz val="10"/>
      <name val="Arial Rounded MT Bold"/>
      <family val="2"/>
    </font>
    <font>
      <sz val="16"/>
      <name val="Arial Rounded MT Bold"/>
      <family val="2"/>
    </font>
    <font>
      <sz val="24"/>
      <name val="Arial Rounded MT Bold"/>
      <family val="2"/>
    </font>
    <font>
      <sz val="11"/>
      <name val="Arial Rounded MT Bold"/>
      <family val="2"/>
    </font>
    <font>
      <sz val="11"/>
      <color theme="1"/>
      <name val="Arial Rounded MT Bold"/>
      <family val="2"/>
    </font>
    <font>
      <sz val="14"/>
      <color theme="1"/>
      <name val="Arial Rounded MT Bold"/>
      <family val="2"/>
    </font>
    <font>
      <b/>
      <sz val="14"/>
      <color theme="1"/>
      <name val="Arial Rounded MT Bold"/>
      <family val="2"/>
    </font>
    <font>
      <b/>
      <sz val="15"/>
      <color theme="1"/>
      <name val="Calibri"/>
      <family val="2"/>
      <scheme val="minor"/>
    </font>
    <font>
      <b/>
      <sz val="14"/>
      <color theme="1"/>
      <name val="Calibri"/>
      <family val="2"/>
      <scheme val="minor"/>
    </font>
    <font>
      <sz val="14"/>
      <name val="Aharoni"/>
      <charset val="177"/>
    </font>
    <font>
      <b/>
      <sz val="14"/>
      <name val="Aharoni"/>
      <charset val="177"/>
    </font>
    <font>
      <sz val="10"/>
      <color theme="1"/>
      <name val="Arial Rounded MT Bold"/>
      <family val="2"/>
    </font>
    <font>
      <b/>
      <sz val="10"/>
      <color theme="3" tint="0.39997558519241921"/>
      <name val="Calibri"/>
      <family val="2"/>
      <scheme val="minor"/>
    </font>
    <font>
      <sz val="10"/>
      <color indexed="8"/>
      <name val="Arial Rounded MT Bold"/>
      <family val="2"/>
    </font>
    <font>
      <b/>
      <sz val="11"/>
      <color theme="0"/>
      <name val="Arial Narrow"/>
      <family val="2"/>
    </font>
    <font>
      <b/>
      <sz val="11"/>
      <color theme="1"/>
      <name val="Arial Narrow"/>
      <family val="2"/>
    </font>
    <font>
      <b/>
      <sz val="11"/>
      <color rgb="FF002060"/>
      <name val="Arial Narrow"/>
      <family val="2"/>
    </font>
    <font>
      <sz val="11"/>
      <color rgb="FFFF0000"/>
      <name val="Calibri"/>
      <family val="2"/>
      <scheme val="minor"/>
    </font>
    <font>
      <sz val="15"/>
      <color rgb="FFFF0000"/>
      <name val="Arial Rounded MT Bold"/>
      <family val="2"/>
    </font>
    <font>
      <sz val="12"/>
      <name val="Arial Rounded MT Bold"/>
      <family val="2"/>
    </font>
    <font>
      <sz val="12"/>
      <color theme="4"/>
      <name val="Arial Rounded MT Bold"/>
      <family val="2"/>
    </font>
    <font>
      <b/>
      <sz val="10"/>
      <color theme="1"/>
      <name val="Calibri"/>
      <family val="2"/>
      <scheme val="minor"/>
    </font>
    <font>
      <sz val="11"/>
      <color theme="1"/>
      <name val="Arial"/>
      <family val="2"/>
    </font>
    <font>
      <sz val="11"/>
      <color rgb="FFFF0000"/>
      <name val="Arial Rounded MT Bold"/>
      <family val="2"/>
    </font>
    <font>
      <sz val="11"/>
      <color theme="4"/>
      <name val="Arial Rounded MT Bold"/>
      <family val="2"/>
    </font>
    <font>
      <sz val="10"/>
      <color theme="1"/>
      <name val="Calibri"/>
      <family val="2"/>
      <scheme val="minor"/>
    </font>
    <font>
      <b/>
      <sz val="11"/>
      <name val="Calibri"/>
      <family val="2"/>
      <scheme val="minor"/>
    </font>
    <font>
      <b/>
      <sz val="11"/>
      <color indexed="8"/>
      <name val="Calibri"/>
      <family val="2"/>
      <scheme val="minor"/>
    </font>
    <font>
      <sz val="11"/>
      <color theme="3" tint="0.39997558519241921"/>
      <name val="Arial Rounded MT Bold"/>
      <family val="2"/>
    </font>
    <font>
      <sz val="22"/>
      <color indexed="10"/>
      <name val="Arial"/>
      <family val="2"/>
    </font>
    <font>
      <sz val="22"/>
      <name val="Arial"/>
      <family val="2"/>
    </font>
    <font>
      <b/>
      <sz val="18"/>
      <color indexed="20"/>
      <name val="Copperplate Gothic Bold"/>
      <family val="2"/>
    </font>
    <font>
      <b/>
      <sz val="18"/>
      <color indexed="10"/>
      <name val="Copperplate Gothic Bold"/>
      <family val="2"/>
    </font>
    <font>
      <b/>
      <sz val="18"/>
      <color indexed="60"/>
      <name val="Copperplate Gothic Bold"/>
      <family val="2"/>
    </font>
    <font>
      <b/>
      <sz val="18"/>
      <color indexed="12"/>
      <name val="Copperplate Gothic Bold"/>
      <family val="2"/>
    </font>
    <font>
      <b/>
      <sz val="18"/>
      <color indexed="62"/>
      <name val="Bodoni MT Black"/>
      <family val="1"/>
    </font>
    <font>
      <sz val="18"/>
      <name val="Arial"/>
      <family val="2"/>
    </font>
    <font>
      <sz val="18"/>
      <color indexed="12"/>
      <name val="Arial"/>
      <family val="2"/>
    </font>
    <font>
      <sz val="18"/>
      <color indexed="57"/>
      <name val="Arial"/>
      <family val="2"/>
    </font>
    <font>
      <sz val="18"/>
      <color indexed="20"/>
      <name val="Arial"/>
      <family val="2"/>
    </font>
    <font>
      <sz val="12"/>
      <color theme="1"/>
      <name val="Calibri"/>
      <family val="2"/>
      <scheme val="minor"/>
    </font>
    <font>
      <sz val="15"/>
      <name val="Arial"/>
      <family val="2"/>
    </font>
    <font>
      <sz val="18"/>
      <color indexed="14"/>
      <name val="Arial"/>
      <family val="2"/>
    </font>
    <font>
      <sz val="18"/>
      <color indexed="17"/>
      <name val="Arial"/>
      <family val="2"/>
    </font>
    <font>
      <sz val="12"/>
      <name val="Calibri"/>
      <family val="2"/>
      <scheme val="minor"/>
    </font>
    <font>
      <sz val="10"/>
      <name val="Arial"/>
      <family val="2"/>
    </font>
    <font>
      <b/>
      <sz val="9"/>
      <color rgb="FFFFFFFF"/>
      <name val="Arial"/>
      <family val="2"/>
    </font>
    <font>
      <sz val="9"/>
      <color rgb="FF636363"/>
      <name val="Verdana"/>
      <family val="2"/>
    </font>
    <font>
      <b/>
      <sz val="16"/>
      <color theme="1"/>
      <name val="Calibri"/>
      <family val="2"/>
      <scheme val="minor"/>
    </font>
    <font>
      <b/>
      <sz val="14"/>
      <color rgb="FF000086"/>
      <name val="Calibri"/>
      <family val="2"/>
      <scheme val="minor"/>
    </font>
    <font>
      <b/>
      <sz val="12"/>
      <color rgb="FFFF0000"/>
      <name val="Calibri"/>
      <family val="2"/>
      <scheme val="minor"/>
    </font>
    <font>
      <sz val="12"/>
      <color theme="0" tint="-4.9989318521683403E-2"/>
      <name val="Arial Rounded MT Bold"/>
      <family val="2"/>
    </font>
    <font>
      <b/>
      <sz val="10"/>
      <color theme="0" tint="-4.9989318521683403E-2"/>
      <name val="Calibri"/>
      <family val="2"/>
      <scheme val="minor"/>
    </font>
    <font>
      <sz val="11"/>
      <color theme="0" tint="-4.9989318521683403E-2"/>
      <name val="Calibri"/>
      <family val="2"/>
      <scheme val="minor"/>
    </font>
    <font>
      <b/>
      <sz val="11"/>
      <color theme="0" tint="-4.9989318521683403E-2"/>
      <name val="Calibri"/>
      <family val="2"/>
      <scheme val="minor"/>
    </font>
    <font>
      <sz val="12"/>
      <color theme="1"/>
      <name val="Arial Rounded MT Bold"/>
      <family val="2"/>
    </font>
    <font>
      <b/>
      <sz val="20"/>
      <color theme="1"/>
      <name val="Calibri"/>
      <family val="2"/>
      <scheme val="minor"/>
    </font>
    <font>
      <sz val="11"/>
      <color rgb="FF006100"/>
      <name val="Calibri"/>
      <family val="2"/>
      <scheme val="minor"/>
    </font>
    <font>
      <b/>
      <sz val="18"/>
      <color theme="1"/>
      <name val="Calibri"/>
      <family val="2"/>
      <scheme val="minor"/>
    </font>
    <font>
      <b/>
      <sz val="16"/>
      <color rgb="FFFF0000"/>
      <name val="Calibri"/>
      <family val="2"/>
      <scheme val="minor"/>
    </font>
    <font>
      <b/>
      <sz val="13"/>
      <color theme="1"/>
      <name val="Calibri"/>
      <family val="2"/>
      <scheme val="minor"/>
    </font>
    <font>
      <b/>
      <sz val="13"/>
      <color rgb="FFFF0000"/>
      <name val="Arial Rounded MT Bold"/>
      <family val="2"/>
    </font>
    <font>
      <b/>
      <sz val="12"/>
      <name val="Arial"/>
      <family val="2"/>
    </font>
    <font>
      <b/>
      <sz val="12"/>
      <color rgb="FFFFFFFF"/>
      <name val="Arial"/>
      <family val="2"/>
    </font>
    <font>
      <b/>
      <sz val="12"/>
      <color rgb="FF000000"/>
      <name val="Arial"/>
      <family val="2"/>
    </font>
    <font>
      <sz val="15"/>
      <color theme="1"/>
      <name val="Arial Rounded MT Bold"/>
      <family val="2"/>
    </font>
  </fonts>
  <fills count="31">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rgb="FFFFFFFF"/>
        <bgColor indexed="64"/>
      </patternFill>
    </fill>
    <fill>
      <patternFill patternType="solid">
        <fgColor theme="3" tint="0.79998168889431442"/>
        <bgColor indexed="64"/>
      </patternFill>
    </fill>
    <fill>
      <patternFill patternType="solid">
        <fgColor theme="0" tint="-0.34998626667073579"/>
        <bgColor indexed="64"/>
      </patternFill>
    </fill>
    <fill>
      <patternFill patternType="solid">
        <fgColor rgb="FF7D7D7D"/>
        <bgColor indexed="64"/>
      </patternFill>
    </fill>
    <fill>
      <patternFill patternType="solid">
        <fgColor rgb="FFE7168E"/>
        <bgColor indexed="64"/>
      </patternFill>
    </fill>
    <fill>
      <patternFill patternType="solid">
        <fgColor rgb="FFF8F7F5"/>
        <bgColor indexed="64"/>
      </patternFill>
    </fill>
    <fill>
      <patternFill patternType="solid">
        <fgColor theme="1" tint="0.499984740745262"/>
        <bgColor indexed="64"/>
      </patternFill>
    </fill>
    <fill>
      <patternFill patternType="solid">
        <fgColor rgb="FFFFCC99"/>
        <bgColor indexed="64"/>
      </patternFill>
    </fill>
    <fill>
      <patternFill patternType="solid">
        <fgColor rgb="FFC00000"/>
        <bgColor indexed="64"/>
      </patternFill>
    </fill>
    <fill>
      <patternFill patternType="solid">
        <fgColor theme="9" tint="0.39997558519241921"/>
        <bgColor indexed="64"/>
      </patternFill>
    </fill>
    <fill>
      <patternFill patternType="solid">
        <fgColor rgb="FFC6EFCE"/>
      </patternFill>
    </fill>
    <fill>
      <patternFill patternType="solid">
        <fgColor rgb="FFFE0000"/>
        <bgColor indexed="64"/>
      </patternFill>
    </fill>
    <fill>
      <patternFill patternType="solid">
        <fgColor rgb="FF00B050"/>
        <bgColor indexed="64"/>
      </patternFill>
    </fill>
    <fill>
      <patternFill patternType="solid">
        <fgColor theme="4"/>
        <bgColor indexed="64"/>
      </patternFill>
    </fill>
    <fill>
      <patternFill patternType="solid">
        <fgColor theme="2" tint="-9.9978637043366805E-2"/>
        <bgColor indexed="64"/>
      </patternFill>
    </fill>
    <fill>
      <patternFill patternType="solid">
        <fgColor theme="2" tint="-0.249977111117893"/>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right style="medium">
        <color indexed="64"/>
      </right>
      <top/>
      <bottom/>
      <diagonal/>
    </border>
    <border>
      <left style="thick">
        <color rgb="FFFFFFFF"/>
      </left>
      <right style="thick">
        <color rgb="FFFFFFFF"/>
      </right>
      <top style="thick">
        <color rgb="FFFFFFFF"/>
      </top>
      <bottom style="thick">
        <color rgb="FFFFFFFF"/>
      </bottom>
      <diagonal/>
    </border>
    <border>
      <left style="thin">
        <color indexed="64"/>
      </left>
      <right/>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medium">
        <color indexed="64"/>
      </left>
      <right/>
      <top/>
      <bottom/>
      <diagonal/>
    </border>
    <border>
      <left/>
      <right/>
      <top style="thin">
        <color theme="0"/>
      </top>
      <bottom style="thin">
        <color theme="0"/>
      </bottom>
      <diagonal/>
    </border>
    <border>
      <left/>
      <right/>
      <top/>
      <bottom style="thin">
        <color theme="0"/>
      </bottom>
      <diagonal/>
    </border>
    <border>
      <left/>
      <right/>
      <top style="thin">
        <color theme="0"/>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theme="0" tint="-4.9989318521683403E-2"/>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theme="0" tint="-4.9989318521683403E-2"/>
      </left>
      <right style="medium">
        <color indexed="64"/>
      </right>
      <top style="medium">
        <color indexed="64"/>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s>
  <cellStyleXfs count="5">
    <xf numFmtId="0" fontId="0" fillId="0" borderId="0"/>
    <xf numFmtId="0" fontId="4" fillId="0" borderId="0"/>
    <xf numFmtId="0" fontId="1" fillId="0" borderId="1" applyAlignment="0">
      <alignment horizontal="center" vertical="center"/>
    </xf>
    <xf numFmtId="0" fontId="54" fillId="0" borderId="0"/>
    <xf numFmtId="0" fontId="66" fillId="25" borderId="0" applyNumberFormat="0" applyBorder="0" applyAlignment="0" applyProtection="0"/>
  </cellStyleXfs>
  <cellXfs count="653">
    <xf numFmtId="0" fontId="0" fillId="0" borderId="0" xfId="0"/>
    <xf numFmtId="2" fontId="3" fillId="0" borderId="1" xfId="0" applyNumberFormat="1" applyFont="1" applyBorder="1" applyAlignment="1" applyProtection="1">
      <alignment horizontal="center" vertical="center"/>
      <protection hidden="1"/>
    </xf>
    <xf numFmtId="164" fontId="3" fillId="0" borderId="1" xfId="0" applyNumberFormat="1" applyFont="1" applyBorder="1" applyAlignment="1" applyProtection="1">
      <alignment horizontal="center" vertical="center"/>
      <protection hidden="1"/>
    </xf>
    <xf numFmtId="0" fontId="3" fillId="0" borderId="1" xfId="0" applyFont="1" applyBorder="1" applyAlignment="1">
      <alignment horizontal="center" vertical="center"/>
    </xf>
    <xf numFmtId="2" fontId="0" fillId="0" borderId="1" xfId="0" applyNumberFormat="1" applyBorder="1" applyAlignment="1" applyProtection="1">
      <alignment horizontal="center" vertical="center"/>
      <protection hidden="1"/>
    </xf>
    <xf numFmtId="2" fontId="3" fillId="0" borderId="2" xfId="0" applyNumberFormat="1" applyFont="1" applyBorder="1" applyAlignment="1" applyProtection="1">
      <alignment horizontal="center" vertical="center"/>
      <protection hidden="1"/>
    </xf>
    <xf numFmtId="0" fontId="8" fillId="0" borderId="1"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9" fillId="3" borderId="3" xfId="0" applyFont="1" applyFill="1" applyBorder="1" applyAlignment="1">
      <alignment vertical="center"/>
    </xf>
    <xf numFmtId="0" fontId="10" fillId="3" borderId="4" xfId="0" applyFont="1" applyFill="1" applyBorder="1" applyAlignment="1">
      <alignment vertical="center"/>
    </xf>
    <xf numFmtId="0" fontId="12" fillId="3" borderId="6" xfId="0" applyFont="1" applyFill="1" applyBorder="1" applyAlignment="1">
      <alignment vertical="center"/>
    </xf>
    <xf numFmtId="0" fontId="10" fillId="3" borderId="7" xfId="0" applyFont="1" applyFill="1" applyBorder="1" applyAlignment="1">
      <alignment vertical="center"/>
    </xf>
    <xf numFmtId="0" fontId="13" fillId="0" borderId="0" xfId="0" applyFont="1" applyAlignment="1">
      <alignment horizontal="center" vertical="center"/>
    </xf>
    <xf numFmtId="0" fontId="13" fillId="0" borderId="9" xfId="0" applyFont="1" applyBorder="1" applyAlignment="1">
      <alignment horizontal="center" vertical="center"/>
    </xf>
    <xf numFmtId="0" fontId="12" fillId="0" borderId="0" xfId="0" applyFont="1" applyAlignment="1">
      <alignment horizontal="center" vertical="center"/>
    </xf>
    <xf numFmtId="0" fontId="14" fillId="0" borderId="0" xfId="0" applyFont="1" applyAlignment="1">
      <alignment horizontal="center" vertical="center"/>
    </xf>
    <xf numFmtId="0" fontId="15" fillId="0" borderId="0" xfId="0" applyFont="1" applyAlignment="1">
      <alignment horizontal="center" vertical="center"/>
    </xf>
    <xf numFmtId="0" fontId="5" fillId="0" borderId="0" xfId="0" applyFont="1" applyAlignment="1">
      <alignment horizontal="center" vertical="center"/>
    </xf>
    <xf numFmtId="0" fontId="5" fillId="0" borderId="7" xfId="0" applyFont="1" applyBorder="1" applyAlignment="1">
      <alignment horizontal="center" vertical="center"/>
    </xf>
    <xf numFmtId="1" fontId="16" fillId="4" borderId="9" xfId="0" applyNumberFormat="1" applyFont="1" applyFill="1" applyBorder="1" applyAlignment="1">
      <alignment horizontal="center" vertical="center"/>
    </xf>
    <xf numFmtId="164" fontId="16" fillId="4" borderId="9" xfId="0" applyNumberFormat="1" applyFont="1" applyFill="1" applyBorder="1" applyAlignment="1">
      <alignment horizontal="center" vertical="center"/>
    </xf>
    <xf numFmtId="0" fontId="17" fillId="0" borderId="7" xfId="0" applyFont="1" applyBorder="1" applyAlignment="1">
      <alignment horizontal="center" vertical="center"/>
    </xf>
    <xf numFmtId="0" fontId="12" fillId="6" borderId="0" xfId="0" applyFont="1" applyFill="1" applyAlignment="1" applyProtection="1">
      <alignment horizontal="center" vertical="center"/>
      <protection hidden="1"/>
    </xf>
    <xf numFmtId="2" fontId="12" fillId="6" borderId="0" xfId="0" applyNumberFormat="1" applyFont="1" applyFill="1" applyAlignment="1" applyProtection="1">
      <alignment horizontal="center" vertical="center"/>
      <protection hidden="1"/>
    </xf>
    <xf numFmtId="1" fontId="12" fillId="6" borderId="0" xfId="0" applyNumberFormat="1" applyFont="1" applyFill="1" applyAlignment="1" applyProtection="1">
      <alignment horizontal="center" vertical="center"/>
      <protection locked="0"/>
    </xf>
    <xf numFmtId="164" fontId="12" fillId="6" borderId="0" xfId="0" applyNumberFormat="1" applyFont="1" applyFill="1" applyAlignment="1" applyProtection="1">
      <alignment horizontal="center" vertical="center"/>
      <protection hidden="1"/>
    </xf>
    <xf numFmtId="0" fontId="13" fillId="0" borderId="0" xfId="0" applyFont="1" applyAlignment="1" applyProtection="1">
      <alignment horizontal="center" vertical="center"/>
      <protection hidden="1"/>
    </xf>
    <xf numFmtId="0" fontId="13" fillId="0" borderId="4" xfId="0" applyFont="1" applyBorder="1" applyAlignment="1" applyProtection="1">
      <alignment horizontal="center" vertical="center"/>
      <protection hidden="1"/>
    </xf>
    <xf numFmtId="0" fontId="12" fillId="7" borderId="9" xfId="0" applyFont="1" applyFill="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3" fillId="7" borderId="12" xfId="0" applyFont="1" applyFill="1" applyBorder="1" applyAlignment="1">
      <alignment horizontal="center" vertical="center"/>
    </xf>
    <xf numFmtId="0" fontId="20" fillId="7" borderId="13" xfId="0" applyFont="1" applyFill="1" applyBorder="1" applyAlignment="1" applyProtection="1">
      <alignment horizontal="center" vertical="center"/>
      <protection hidden="1"/>
    </xf>
    <xf numFmtId="0" fontId="20" fillId="7" borderId="14" xfId="0" applyFont="1" applyFill="1" applyBorder="1" applyAlignment="1" applyProtection="1">
      <alignment horizontal="center" vertical="center"/>
      <protection hidden="1"/>
    </xf>
    <xf numFmtId="49" fontId="3" fillId="0" borderId="15" xfId="0" applyNumberFormat="1" applyFont="1" applyBorder="1" applyAlignment="1" applyProtection="1">
      <alignment horizontal="center" vertical="center"/>
      <protection hidden="1"/>
    </xf>
    <xf numFmtId="2" fontId="3" fillId="0" borderId="16" xfId="0" applyNumberFormat="1" applyFont="1" applyBorder="1" applyAlignment="1" applyProtection="1">
      <alignment horizontal="center" vertical="center"/>
      <protection hidden="1"/>
    </xf>
    <xf numFmtId="0" fontId="3" fillId="0" borderId="16" xfId="0" applyFont="1" applyBorder="1" applyAlignment="1" applyProtection="1">
      <alignment horizontal="center" vertical="center"/>
      <protection hidden="1"/>
    </xf>
    <xf numFmtId="0" fontId="3" fillId="0" borderId="16" xfId="0" applyFont="1" applyBorder="1" applyAlignment="1">
      <alignment horizontal="center" vertical="center"/>
    </xf>
    <xf numFmtId="164" fontId="3" fillId="0" borderId="17" xfId="0" applyNumberFormat="1" applyFont="1" applyBorder="1" applyAlignment="1" applyProtection="1">
      <alignment horizontal="center" vertical="center"/>
      <protection hidden="1"/>
    </xf>
    <xf numFmtId="0" fontId="0" fillId="8" borderId="0" xfId="0" applyFill="1" applyAlignment="1">
      <alignment horizontal="center" vertical="center"/>
    </xf>
    <xf numFmtId="2" fontId="3" fillId="0" borderId="18" xfId="0" applyNumberFormat="1" applyFont="1" applyBorder="1" applyAlignment="1" applyProtection="1">
      <alignment horizontal="center" vertical="center"/>
      <protection hidden="1"/>
    </xf>
    <xf numFmtId="164" fontId="3" fillId="0" borderId="19" xfId="0" applyNumberFormat="1" applyFont="1" applyBorder="1" applyAlignment="1" applyProtection="1">
      <alignment horizontal="center" vertical="center"/>
      <protection hidden="1"/>
    </xf>
    <xf numFmtId="0" fontId="0" fillId="0" borderId="19" xfId="0" applyBorder="1" applyAlignment="1">
      <alignment horizontal="center" vertical="center"/>
    </xf>
    <xf numFmtId="164" fontId="3" fillId="0" borderId="20" xfId="0" applyNumberFormat="1" applyFont="1" applyBorder="1" applyAlignment="1" applyProtection="1">
      <alignment horizontal="center" vertical="center"/>
      <protection hidden="1"/>
    </xf>
    <xf numFmtId="0" fontId="3" fillId="0" borderId="18" xfId="0" applyFont="1" applyBorder="1" applyAlignment="1" applyProtection="1">
      <alignment horizontal="center" vertical="center"/>
      <protection hidden="1"/>
    </xf>
    <xf numFmtId="2" fontId="3" fillId="0" borderId="19" xfId="0" applyNumberFormat="1" applyFont="1" applyBorder="1" applyAlignment="1" applyProtection="1">
      <alignment horizontal="center" vertical="center"/>
      <protection hidden="1"/>
    </xf>
    <xf numFmtId="0" fontId="3" fillId="0" borderId="19" xfId="0" applyFont="1" applyBorder="1" applyAlignment="1" applyProtection="1">
      <alignment horizontal="center" vertical="center"/>
      <protection hidden="1"/>
    </xf>
    <xf numFmtId="0" fontId="3" fillId="0" borderId="19" xfId="0" applyFont="1" applyBorder="1" applyAlignment="1" applyProtection="1">
      <alignment horizontal="center" vertical="center"/>
      <protection locked="0"/>
    </xf>
    <xf numFmtId="0" fontId="20" fillId="2" borderId="19" xfId="0" applyFont="1" applyFill="1" applyBorder="1" applyAlignment="1">
      <alignment horizontal="center" vertical="center"/>
    </xf>
    <xf numFmtId="0" fontId="8" fillId="0" borderId="19" xfId="0" applyFont="1" applyBorder="1" applyAlignment="1">
      <alignment horizontal="center" vertical="center" wrapText="1"/>
    </xf>
    <xf numFmtId="164" fontId="8" fillId="0" borderId="19" xfId="0" applyNumberFormat="1" applyFont="1" applyBorder="1" applyAlignment="1">
      <alignment horizontal="center" vertical="center" wrapText="1"/>
    </xf>
    <xf numFmtId="164" fontId="0" fillId="0" borderId="20" xfId="0" applyNumberFormat="1" applyBorder="1" applyAlignment="1" applyProtection="1">
      <alignment horizontal="center" vertical="center"/>
      <protection hidden="1"/>
    </xf>
    <xf numFmtId="0" fontId="0" fillId="9" borderId="0" xfId="0" applyFill="1" applyAlignment="1">
      <alignment horizontal="center" vertical="center"/>
    </xf>
    <xf numFmtId="49" fontId="3" fillId="0" borderId="2" xfId="0" applyNumberFormat="1" applyFont="1" applyBorder="1" applyAlignment="1" applyProtection="1">
      <alignment horizontal="center" vertical="center"/>
      <protection hidden="1"/>
    </xf>
    <xf numFmtId="0" fontId="3" fillId="0" borderId="1" xfId="0" applyFont="1" applyBorder="1" applyAlignment="1" applyProtection="1">
      <alignment horizontal="center" vertical="center"/>
      <protection hidden="1"/>
    </xf>
    <xf numFmtId="164" fontId="3" fillId="0" borderId="21" xfId="0" applyNumberFormat="1" applyFont="1" applyBorder="1" applyAlignment="1" applyProtection="1">
      <alignment horizontal="center" vertical="center"/>
      <protection hidden="1"/>
    </xf>
    <xf numFmtId="0" fontId="0" fillId="0" borderId="1" xfId="0" applyBorder="1" applyAlignment="1">
      <alignment horizontal="center" vertical="center"/>
    </xf>
    <xf numFmtId="0" fontId="3" fillId="0" borderId="2" xfId="0" applyFont="1" applyBorder="1" applyAlignment="1" applyProtection="1">
      <alignment horizontal="center" vertical="center"/>
      <protection hidden="1"/>
    </xf>
    <xf numFmtId="0" fontId="3" fillId="0" borderId="1" xfId="0" applyFont="1" applyBorder="1" applyAlignment="1" applyProtection="1">
      <alignment horizontal="center" vertical="center"/>
      <protection locked="0"/>
    </xf>
    <xf numFmtId="0" fontId="20" fillId="2" borderId="1" xfId="0" applyFont="1" applyFill="1" applyBorder="1" applyAlignment="1">
      <alignment horizontal="center" vertical="center"/>
    </xf>
    <xf numFmtId="49" fontId="0" fillId="0" borderId="18" xfId="0" applyNumberFormat="1" applyBorder="1" applyAlignment="1">
      <alignment horizontal="center" vertical="center"/>
    </xf>
    <xf numFmtId="49" fontId="0" fillId="0" borderId="2" xfId="0" applyNumberFormat="1" applyBorder="1" applyAlignment="1">
      <alignment horizontal="center" vertical="center"/>
    </xf>
    <xf numFmtId="164" fontId="8" fillId="0" borderId="1" xfId="0" applyNumberFormat="1" applyFont="1" applyBorder="1" applyAlignment="1">
      <alignment horizontal="center" vertical="center" wrapText="1"/>
    </xf>
    <xf numFmtId="0" fontId="0" fillId="10" borderId="0" xfId="0" applyFill="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0" fillId="0" borderId="2" xfId="0" applyNumberFormat="1" applyBorder="1" applyAlignment="1" applyProtection="1">
      <alignment horizontal="center" vertical="center"/>
      <protection hidden="1"/>
    </xf>
    <xf numFmtId="164" fontId="0" fillId="0" borderId="1" xfId="0" applyNumberFormat="1" applyBorder="1" applyAlignment="1" applyProtection="1">
      <alignment horizontal="center" vertical="center"/>
      <protection hidden="1"/>
    </xf>
    <xf numFmtId="49" fontId="21" fillId="0" borderId="0" xfId="0" applyNumberFormat="1" applyFont="1" applyAlignment="1">
      <alignment horizontal="center" vertical="center"/>
    </xf>
    <xf numFmtId="49" fontId="3" fillId="0" borderId="22" xfId="0" applyNumberFormat="1" applyFont="1" applyBorder="1" applyAlignment="1" applyProtection="1">
      <alignment horizontal="center" vertical="center"/>
      <protection hidden="1"/>
    </xf>
    <xf numFmtId="2" fontId="3" fillId="0" borderId="23" xfId="0" applyNumberFormat="1" applyFont="1" applyBorder="1" applyAlignment="1" applyProtection="1">
      <alignment horizontal="center" vertical="center"/>
      <protection hidden="1"/>
    </xf>
    <xf numFmtId="164" fontId="3" fillId="0" borderId="23" xfId="0" applyNumberFormat="1" applyFont="1" applyBorder="1" applyAlignment="1" applyProtection="1">
      <alignment horizontal="center" vertical="center"/>
      <protection hidden="1"/>
    </xf>
    <xf numFmtId="0" fontId="3" fillId="0" borderId="23" xfId="0" applyFont="1" applyBorder="1" applyAlignment="1">
      <alignment horizontal="center" vertical="center"/>
    </xf>
    <xf numFmtId="164" fontId="3" fillId="0" borderId="24" xfId="0" applyNumberFormat="1" applyFont="1" applyBorder="1" applyAlignment="1" applyProtection="1">
      <alignment horizontal="center" vertical="center"/>
      <protection hidden="1"/>
    </xf>
    <xf numFmtId="49" fontId="12" fillId="0" borderId="0" xfId="0" applyNumberFormat="1" applyFont="1" applyAlignment="1" applyProtection="1">
      <alignment horizontal="center" vertical="center"/>
      <protection hidden="1"/>
    </xf>
    <xf numFmtId="49" fontId="12" fillId="0" borderId="0" xfId="0" applyNumberFormat="1" applyFont="1" applyAlignment="1" applyProtection="1">
      <alignment vertical="center"/>
      <protection hidden="1"/>
    </xf>
    <xf numFmtId="164" fontId="3" fillId="0" borderId="0" xfId="0" applyNumberFormat="1" applyFont="1" applyAlignment="1" applyProtection="1">
      <alignment horizontal="center" vertical="center"/>
      <protection hidden="1"/>
    </xf>
    <xf numFmtId="164" fontId="3" fillId="0" borderId="16" xfId="0" applyNumberFormat="1" applyFont="1" applyBorder="1" applyAlignment="1" applyProtection="1">
      <alignment horizontal="center" vertical="center"/>
      <protection hidden="1"/>
    </xf>
    <xf numFmtId="0" fontId="0" fillId="0" borderId="1" xfId="0" applyBorder="1" applyAlignment="1" applyProtection="1">
      <alignment horizontal="center" vertical="center"/>
      <protection hidden="1"/>
    </xf>
    <xf numFmtId="2" fontId="0" fillId="0" borderId="25" xfId="0" applyNumberFormat="1" applyBorder="1" applyAlignment="1" applyProtection="1">
      <alignment horizontal="center" vertical="center"/>
      <protection hidden="1"/>
    </xf>
    <xf numFmtId="0" fontId="0" fillId="0" borderId="23" xfId="0" applyBorder="1" applyAlignment="1">
      <alignment horizontal="center" vertical="center"/>
    </xf>
    <xf numFmtId="1" fontId="22" fillId="11" borderId="9" xfId="0" applyNumberFormat="1" applyFont="1" applyFill="1" applyBorder="1" applyAlignment="1">
      <alignment horizontal="center" vertical="center" wrapText="1"/>
    </xf>
    <xf numFmtId="164" fontId="9" fillId="11" borderId="9" xfId="0" applyNumberFormat="1" applyFont="1" applyFill="1" applyBorder="1" applyAlignment="1" applyProtection="1">
      <alignment horizontal="center" vertical="center"/>
      <protection hidden="1"/>
    </xf>
    <xf numFmtId="49" fontId="2" fillId="0" borderId="4" xfId="0" applyNumberFormat="1" applyFont="1" applyBorder="1" applyAlignment="1">
      <alignment vertical="center"/>
    </xf>
    <xf numFmtId="49" fontId="0" fillId="0" borderId="4" xfId="0" applyNumberFormat="1" applyBorder="1" applyAlignment="1">
      <alignment vertical="center"/>
    </xf>
    <xf numFmtId="0" fontId="20" fillId="7" borderId="9" xfId="0" applyFont="1" applyFill="1" applyBorder="1" applyAlignment="1" applyProtection="1">
      <alignment horizontal="center" vertical="center"/>
      <protection hidden="1"/>
    </xf>
    <xf numFmtId="49" fontId="0" fillId="0" borderId="2" xfId="0" applyNumberFormat="1" applyBorder="1" applyAlignment="1" applyProtection="1">
      <alignment horizontal="center" vertical="center"/>
      <protection hidden="1"/>
    </xf>
    <xf numFmtId="164" fontId="0" fillId="0" borderId="19" xfId="0" applyNumberFormat="1" applyBorder="1" applyAlignment="1">
      <alignment horizontal="center" vertical="center"/>
    </xf>
    <xf numFmtId="0" fontId="0" fillId="0" borderId="16" xfId="0" applyBorder="1" applyAlignment="1">
      <alignment horizontal="center" vertical="center"/>
    </xf>
    <xf numFmtId="164" fontId="0" fillId="0" borderId="20" xfId="0" applyNumberFormat="1" applyBorder="1" applyAlignment="1">
      <alignment horizontal="center" vertical="center"/>
    </xf>
    <xf numFmtId="164" fontId="0" fillId="0" borderId="1" xfId="0" applyNumberFormat="1" applyBorder="1" applyAlignment="1">
      <alignment horizontal="center" vertical="center"/>
    </xf>
    <xf numFmtId="2" fontId="3" fillId="0" borderId="27" xfId="0" applyNumberFormat="1" applyFont="1" applyBorder="1" applyAlignment="1" applyProtection="1">
      <alignment horizontal="center" vertical="center"/>
      <protection hidden="1"/>
    </xf>
    <xf numFmtId="164" fontId="3" fillId="0" borderId="25" xfId="0" applyNumberFormat="1" applyFont="1" applyBorder="1" applyAlignment="1" applyProtection="1">
      <alignment horizontal="center" vertical="center"/>
      <protection hidden="1"/>
    </xf>
    <xf numFmtId="0" fontId="0" fillId="0" borderId="25" xfId="0" applyBorder="1" applyAlignment="1">
      <alignment horizontal="center" vertical="center"/>
    </xf>
    <xf numFmtId="1" fontId="20" fillId="11" borderId="9" xfId="0" applyNumberFormat="1" applyFont="1" applyFill="1" applyBorder="1" applyAlignment="1">
      <alignment horizontal="center" vertical="center"/>
    </xf>
    <xf numFmtId="0" fontId="23" fillId="12" borderId="0" xfId="0" applyFont="1" applyFill="1" applyAlignment="1">
      <alignment horizontal="center" vertical="center"/>
    </xf>
    <xf numFmtId="0" fontId="24" fillId="9" borderId="0" xfId="0" applyFont="1" applyFill="1" applyAlignment="1">
      <alignment horizontal="center" vertical="center"/>
    </xf>
    <xf numFmtId="0" fontId="25" fillId="10" borderId="0" xfId="0" applyFont="1" applyFill="1" applyAlignment="1">
      <alignment horizontal="center" vertical="center"/>
    </xf>
    <xf numFmtId="0" fontId="25" fillId="8" borderId="0" xfId="0" applyFont="1" applyFill="1" applyAlignment="1">
      <alignment horizontal="center" vertical="center"/>
    </xf>
    <xf numFmtId="1" fontId="0" fillId="0" borderId="19" xfId="0" applyNumberFormat="1" applyBorder="1" applyAlignment="1">
      <alignment horizontal="center" vertical="center"/>
    </xf>
    <xf numFmtId="1" fontId="0" fillId="0" borderId="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5" xfId="0" applyNumberFormat="1" applyBorder="1" applyAlignment="1" applyProtection="1">
      <alignment horizontal="center" vertical="center"/>
      <protection hidden="1"/>
    </xf>
    <xf numFmtId="0" fontId="20" fillId="0" borderId="0" xfId="0" applyFont="1" applyAlignment="1" applyProtection="1">
      <alignment horizontal="center" vertical="center"/>
      <protection hidden="1"/>
    </xf>
    <xf numFmtId="1" fontId="0" fillId="0" borderId="25" xfId="0" applyNumberFormat="1" applyBorder="1" applyAlignment="1">
      <alignment horizontal="center" vertical="center"/>
    </xf>
    <xf numFmtId="164" fontId="0" fillId="0" borderId="28" xfId="0" applyNumberFormat="1" applyBorder="1" applyAlignment="1">
      <alignment horizontal="center" vertical="center"/>
    </xf>
    <xf numFmtId="2" fontId="3" fillId="0" borderId="25" xfId="0" applyNumberFormat="1" applyFont="1" applyBorder="1" applyAlignment="1" applyProtection="1">
      <alignment horizontal="center" vertical="center"/>
      <protection hidden="1"/>
    </xf>
    <xf numFmtId="0" fontId="3" fillId="0" borderId="25" xfId="0" applyFont="1" applyBorder="1" applyAlignment="1" applyProtection="1">
      <alignment horizontal="center" vertical="center"/>
      <protection locked="0"/>
    </xf>
    <xf numFmtId="1" fontId="13" fillId="11" borderId="9" xfId="0" applyNumberFormat="1" applyFont="1" applyFill="1" applyBorder="1" applyAlignment="1">
      <alignment horizontal="center" vertical="center"/>
    </xf>
    <xf numFmtId="164" fontId="13" fillId="11" borderId="9" xfId="0" applyNumberFormat="1" applyFont="1" applyFill="1" applyBorder="1" applyAlignment="1">
      <alignment horizontal="center" vertical="center"/>
    </xf>
    <xf numFmtId="2" fontId="9" fillId="11" borderId="9" xfId="0" applyNumberFormat="1" applyFont="1" applyFill="1" applyBorder="1" applyAlignment="1" applyProtection="1">
      <alignment horizontal="center" vertical="center"/>
      <protection hidden="1"/>
    </xf>
    <xf numFmtId="2" fontId="0" fillId="0" borderId="18" xfId="0" applyNumberFormat="1" applyBorder="1" applyAlignment="1" applyProtection="1">
      <alignment horizontal="center" vertical="center"/>
      <protection hidden="1"/>
    </xf>
    <xf numFmtId="2" fontId="0" fillId="0" borderId="19" xfId="0" applyNumberFormat="1" applyBorder="1" applyAlignment="1" applyProtection="1">
      <alignment horizontal="center" vertical="center"/>
      <protection hidden="1"/>
    </xf>
    <xf numFmtId="0" fontId="0" fillId="0" borderId="0" xfId="0" applyAlignment="1">
      <alignment vertical="center"/>
    </xf>
    <xf numFmtId="2" fontId="0" fillId="2" borderId="1" xfId="0" applyNumberFormat="1" applyFill="1" applyBorder="1" applyAlignment="1" applyProtection="1">
      <alignment horizontal="center"/>
      <protection hidden="1"/>
    </xf>
    <xf numFmtId="1" fontId="0" fillId="2" borderId="1" xfId="0" applyNumberFormat="1" applyFill="1" applyBorder="1" applyAlignment="1" applyProtection="1">
      <alignment horizontal="center"/>
      <protection locked="0"/>
    </xf>
    <xf numFmtId="164" fontId="0" fillId="2" borderId="1" xfId="0" applyNumberFormat="1" applyFill="1" applyBorder="1" applyAlignment="1" applyProtection="1">
      <alignment horizontal="center"/>
      <protection hidden="1"/>
    </xf>
    <xf numFmtId="2" fontId="0" fillId="0" borderId="15" xfId="0" applyNumberFormat="1" applyBorder="1" applyAlignment="1" applyProtection="1">
      <alignment horizontal="center" vertical="center"/>
      <protection hidden="1"/>
    </xf>
    <xf numFmtId="2" fontId="0" fillId="0" borderId="16" xfId="0" applyNumberFormat="1" applyBorder="1" applyAlignment="1" applyProtection="1">
      <alignment horizontal="center" vertical="center"/>
      <protection hidden="1"/>
    </xf>
    <xf numFmtId="164" fontId="0" fillId="0" borderId="17" xfId="0" applyNumberFormat="1" applyBorder="1" applyAlignment="1" applyProtection="1">
      <alignment horizontal="center" vertical="center"/>
      <protection hidden="1"/>
    </xf>
    <xf numFmtId="164" fontId="0" fillId="0" borderId="21" xfId="0" applyNumberFormat="1" applyBorder="1" applyAlignment="1" applyProtection="1">
      <alignment horizontal="center" vertical="center"/>
      <protection hidden="1"/>
    </xf>
    <xf numFmtId="0" fontId="0" fillId="0" borderId="2" xfId="0" applyBorder="1" applyAlignment="1" applyProtection="1">
      <alignment horizontal="center" vertical="center"/>
      <protection hidden="1"/>
    </xf>
    <xf numFmtId="164" fontId="3" fillId="2" borderId="21" xfId="0" applyNumberFormat="1" applyFont="1" applyFill="1" applyBorder="1" applyAlignment="1" applyProtection="1">
      <alignment horizontal="center" vertical="center"/>
      <protection hidden="1"/>
    </xf>
    <xf numFmtId="2" fontId="0" fillId="0" borderId="27" xfId="0" applyNumberFormat="1" applyBorder="1" applyAlignment="1" applyProtection="1">
      <alignment horizontal="center" vertical="center"/>
      <protection hidden="1"/>
    </xf>
    <xf numFmtId="164" fontId="20" fillId="11" borderId="9" xfId="0" applyNumberFormat="1" applyFont="1" applyFill="1" applyBorder="1" applyAlignment="1" applyProtection="1">
      <alignment horizontal="center" vertical="center"/>
      <protection hidden="1"/>
    </xf>
    <xf numFmtId="2" fontId="0" fillId="0" borderId="22" xfId="0" applyNumberFormat="1" applyBorder="1" applyAlignment="1" applyProtection="1">
      <alignment horizontal="center" vertical="center"/>
      <protection hidden="1"/>
    </xf>
    <xf numFmtId="2" fontId="0" fillId="0" borderId="23" xfId="0" applyNumberFormat="1" applyBorder="1" applyAlignment="1" applyProtection="1">
      <alignment horizontal="center" vertical="center"/>
      <protection hidden="1"/>
    </xf>
    <xf numFmtId="164" fontId="0" fillId="0" borderId="24" xfId="0" applyNumberFormat="1" applyBorder="1" applyAlignment="1" applyProtection="1">
      <alignment horizontal="center" vertical="center"/>
      <protection hidden="1"/>
    </xf>
    <xf numFmtId="1" fontId="12" fillId="11" borderId="9" xfId="0" applyNumberFormat="1" applyFont="1" applyFill="1" applyBorder="1" applyAlignment="1">
      <alignment horizontal="center" vertical="center"/>
    </xf>
    <xf numFmtId="9" fontId="5" fillId="0" borderId="0" xfId="0" applyNumberFormat="1" applyFont="1" applyAlignment="1">
      <alignment horizontal="center" vertical="center"/>
    </xf>
    <xf numFmtId="0" fontId="30" fillId="0" borderId="9" xfId="0" applyFont="1" applyBorder="1" applyAlignment="1" applyProtection="1">
      <alignment horizontal="center" vertical="center"/>
      <protection hidden="1"/>
    </xf>
    <xf numFmtId="0" fontId="0" fillId="0" borderId="2" xfId="0" applyBorder="1" applyAlignment="1">
      <alignment horizontal="center" vertical="center" wrapText="1"/>
    </xf>
    <xf numFmtId="164" fontId="0" fillId="0" borderId="1" xfId="0" applyNumberFormat="1" applyBorder="1" applyAlignment="1">
      <alignment horizontal="center" vertical="center" wrapText="1"/>
    </xf>
    <xf numFmtId="0" fontId="0" fillId="0" borderId="1" xfId="0" applyBorder="1" applyAlignment="1">
      <alignment horizontal="center" vertical="center" wrapText="1"/>
    </xf>
    <xf numFmtId="164" fontId="0" fillId="0" borderId="21" xfId="0" applyNumberFormat="1" applyBorder="1" applyAlignment="1">
      <alignment horizontal="center" vertical="center" wrapText="1"/>
    </xf>
    <xf numFmtId="0" fontId="0" fillId="0" borderId="27" xfId="0" applyBorder="1" applyAlignment="1">
      <alignment horizontal="center" vertical="center" wrapText="1"/>
    </xf>
    <xf numFmtId="164" fontId="0" fillId="0" borderId="25" xfId="0" applyNumberFormat="1" applyBorder="1" applyAlignment="1">
      <alignment horizontal="center" vertical="center" wrapText="1"/>
    </xf>
    <xf numFmtId="0" fontId="0" fillId="0" borderId="25" xfId="0" applyBorder="1" applyAlignment="1">
      <alignment horizontal="center" vertical="center" wrapText="1"/>
    </xf>
    <xf numFmtId="164" fontId="0" fillId="0" borderId="28" xfId="0" applyNumberFormat="1" applyBorder="1" applyAlignment="1">
      <alignment horizontal="center" vertical="center" wrapText="1"/>
    </xf>
    <xf numFmtId="0" fontId="2" fillId="0" borderId="9" xfId="0" applyFont="1" applyBorder="1" applyAlignment="1">
      <alignment horizontal="center" vertical="center" wrapText="1"/>
    </xf>
    <xf numFmtId="2" fontId="2" fillId="0" borderId="9" xfId="0" applyNumberFormat="1" applyFont="1" applyBorder="1" applyAlignment="1">
      <alignment horizontal="center" vertical="center" wrapText="1"/>
    </xf>
    <xf numFmtId="0" fontId="12" fillId="0" borderId="0" xfId="0" applyFont="1" applyAlignment="1" applyProtection="1">
      <alignment horizontal="center" vertical="center"/>
      <protection hidden="1"/>
    </xf>
    <xf numFmtId="0" fontId="31" fillId="0" borderId="0" xfId="0" applyFont="1" applyAlignment="1">
      <alignment horizontal="center" vertical="center" wrapText="1"/>
    </xf>
    <xf numFmtId="0" fontId="2" fillId="0" borderId="13" xfId="0" applyFont="1" applyBorder="1" applyAlignment="1">
      <alignment horizontal="center" vertical="center"/>
    </xf>
    <xf numFmtId="2" fontId="2" fillId="0" borderId="14" xfId="0" applyNumberFormat="1" applyFont="1" applyBorder="1" applyAlignment="1">
      <alignment horizontal="center" vertical="center"/>
    </xf>
    <xf numFmtId="164" fontId="12" fillId="0" borderId="0" xfId="0" applyNumberFormat="1" applyFont="1" applyAlignment="1" applyProtection="1">
      <alignment horizontal="center" vertical="center"/>
      <protection hidden="1"/>
    </xf>
    <xf numFmtId="0" fontId="34" fillId="0" borderId="0" xfId="0" applyFont="1" applyAlignment="1">
      <alignment horizontal="center" vertical="center"/>
    </xf>
    <xf numFmtId="164" fontId="9" fillId="0" borderId="0" xfId="0" applyNumberFormat="1" applyFont="1" applyAlignment="1" applyProtection="1">
      <alignment horizontal="center" vertical="center"/>
      <protection hidden="1"/>
    </xf>
    <xf numFmtId="0" fontId="34" fillId="0" borderId="0" xfId="0" applyFont="1" applyAlignment="1">
      <alignment vertical="center"/>
    </xf>
    <xf numFmtId="164" fontId="13" fillId="0" borderId="0" xfId="0" applyNumberFormat="1" applyFont="1" applyAlignment="1" applyProtection="1">
      <alignment horizontal="center" vertical="center"/>
      <protection hidden="1"/>
    </xf>
    <xf numFmtId="0" fontId="2" fillId="0" borderId="9" xfId="0" applyFont="1" applyBorder="1" applyAlignment="1" applyProtection="1">
      <alignment horizontal="center" vertical="center"/>
      <protection hidden="1"/>
    </xf>
    <xf numFmtId="2" fontId="36" fillId="0" borderId="9" xfId="0" applyNumberFormat="1" applyFont="1" applyBorder="1" applyAlignment="1">
      <alignment horizontal="center" vertical="center" wrapText="1"/>
    </xf>
    <xf numFmtId="164" fontId="0" fillId="0" borderId="0" xfId="0" applyNumberFormat="1" applyAlignment="1" applyProtection="1">
      <alignment horizontal="center" vertical="center"/>
      <protection hidden="1"/>
    </xf>
    <xf numFmtId="164" fontId="32" fillId="0" borderId="0" xfId="0" applyNumberFormat="1" applyFont="1" applyAlignment="1" applyProtection="1">
      <alignment horizontal="center" vertical="center"/>
      <protection hidden="1"/>
    </xf>
    <xf numFmtId="164" fontId="37" fillId="0" borderId="0" xfId="0" applyNumberFormat="1" applyFont="1" applyAlignment="1" applyProtection="1">
      <alignment horizontal="center" vertical="center"/>
      <protection hidden="1"/>
    </xf>
    <xf numFmtId="0" fontId="9" fillId="0" borderId="0" xfId="0" applyFont="1" applyAlignment="1" applyProtection="1">
      <alignment horizontal="center" vertical="center"/>
      <protection hidden="1"/>
    </xf>
    <xf numFmtId="164" fontId="0" fillId="0" borderId="19" xfId="0" applyNumberFormat="1" applyBorder="1" applyAlignment="1" applyProtection="1">
      <alignment horizontal="center" vertical="center"/>
      <protection hidden="1"/>
    </xf>
    <xf numFmtId="1" fontId="2" fillId="0" borderId="9" xfId="0" applyNumberFormat="1" applyFont="1" applyBorder="1" applyAlignment="1">
      <alignment horizontal="center" vertical="center"/>
    </xf>
    <xf numFmtId="2" fontId="35" fillId="0" borderId="9" xfId="0" applyNumberFormat="1" applyFont="1" applyBorder="1" applyAlignment="1" applyProtection="1">
      <alignment horizontal="center" vertical="center"/>
      <protection hidden="1"/>
    </xf>
    <xf numFmtId="164" fontId="26" fillId="0" borderId="0" xfId="0" applyNumberFormat="1" applyFont="1" applyAlignment="1">
      <alignment horizontal="center" vertical="center"/>
    </xf>
    <xf numFmtId="0" fontId="40" fillId="0" borderId="35" xfId="0" applyFont="1" applyBorder="1" applyAlignment="1">
      <alignment horizontal="center"/>
    </xf>
    <xf numFmtId="0" fontId="41" fillId="0" borderId="8" xfId="0" applyFont="1" applyBorder="1" applyAlignment="1">
      <alignment horizontal="center"/>
    </xf>
    <xf numFmtId="0" fontId="42" fillId="0" borderId="7" xfId="0" applyFont="1" applyBorder="1" applyAlignment="1">
      <alignment horizontal="center"/>
    </xf>
    <xf numFmtId="0" fontId="43" fillId="0" borderId="35" xfId="0" applyFont="1" applyBorder="1" applyAlignment="1">
      <alignment horizontal="center"/>
    </xf>
    <xf numFmtId="0" fontId="44" fillId="0" borderId="8" xfId="0" applyFont="1" applyBorder="1"/>
    <xf numFmtId="0" fontId="45" fillId="0" borderId="18" xfId="0" applyFont="1" applyBorder="1" applyAlignment="1">
      <alignment horizontal="center"/>
    </xf>
    <xf numFmtId="0" fontId="46" fillId="0" borderId="19" xfId="0" applyFont="1" applyBorder="1" applyAlignment="1">
      <alignment horizontal="center"/>
    </xf>
    <xf numFmtId="2" fontId="47" fillId="0" borderId="19" xfId="0" applyNumberFormat="1" applyFont="1" applyBorder="1" applyAlignment="1">
      <alignment horizontal="center"/>
    </xf>
    <xf numFmtId="0" fontId="47" fillId="0" borderId="19" xfId="0" applyFont="1" applyBorder="1" applyAlignment="1">
      <alignment horizontal="center"/>
    </xf>
    <xf numFmtId="0" fontId="47" fillId="0" borderId="20" xfId="0" applyFont="1" applyBorder="1" applyAlignment="1">
      <alignment horizontal="center"/>
    </xf>
    <xf numFmtId="0" fontId="45" fillId="0" borderId="2" xfId="0" applyFont="1" applyBorder="1" applyAlignment="1">
      <alignment horizontal="center"/>
    </xf>
    <xf numFmtId="0" fontId="46" fillId="0" borderId="1" xfId="0" applyFont="1" applyBorder="1" applyAlignment="1">
      <alignment horizontal="center"/>
    </xf>
    <xf numFmtId="2" fontId="47" fillId="0" borderId="1" xfId="0" applyNumberFormat="1" applyFont="1" applyBorder="1" applyAlignment="1">
      <alignment horizontal="center"/>
    </xf>
    <xf numFmtId="0" fontId="47" fillId="0" borderId="1" xfId="0" applyFont="1" applyBorder="1" applyAlignment="1">
      <alignment horizontal="center"/>
    </xf>
    <xf numFmtId="0" fontId="47" fillId="0" borderId="21" xfId="0" applyFont="1" applyBorder="1" applyAlignment="1">
      <alignment horizontal="center"/>
    </xf>
    <xf numFmtId="2" fontId="48" fillId="0" borderId="1" xfId="0" applyNumberFormat="1" applyFont="1" applyBorder="1" applyAlignment="1">
      <alignment horizontal="center"/>
    </xf>
    <xf numFmtId="0" fontId="48" fillId="0" borderId="1" xfId="0" applyFont="1" applyBorder="1" applyAlignment="1">
      <alignment horizontal="center"/>
    </xf>
    <xf numFmtId="0" fontId="48" fillId="0" borderId="21" xfId="0" applyFont="1" applyBorder="1" applyAlignment="1">
      <alignment horizontal="center"/>
    </xf>
    <xf numFmtId="0" fontId="49" fillId="16" borderId="15" xfId="0" applyFont="1" applyFill="1" applyBorder="1" applyAlignment="1">
      <alignment horizontal="center" vertical="center"/>
    </xf>
    <xf numFmtId="165" fontId="7" fillId="16" borderId="17" xfId="0" applyNumberFormat="1" applyFont="1" applyFill="1" applyBorder="1" applyAlignment="1">
      <alignment horizontal="center" vertical="center"/>
    </xf>
    <xf numFmtId="0" fontId="49" fillId="13" borderId="2" xfId="0" applyFont="1" applyFill="1" applyBorder="1" applyAlignment="1">
      <alignment horizontal="center" vertical="center"/>
    </xf>
    <xf numFmtId="165" fontId="7" fillId="13" borderId="21" xfId="0" applyNumberFormat="1" applyFont="1" applyFill="1" applyBorder="1" applyAlignment="1">
      <alignment horizontal="center" vertical="center"/>
    </xf>
    <xf numFmtId="0" fontId="49" fillId="16" borderId="2" xfId="0" applyFont="1" applyFill="1" applyBorder="1" applyAlignment="1">
      <alignment horizontal="center" vertical="center"/>
    </xf>
    <xf numFmtId="165" fontId="7" fillId="16" borderId="21" xfId="0" applyNumberFormat="1" applyFont="1" applyFill="1" applyBorder="1" applyAlignment="1">
      <alignment horizontal="center" vertical="center"/>
    </xf>
    <xf numFmtId="2" fontId="51" fillId="0" borderId="1" xfId="0" applyNumberFormat="1" applyFont="1" applyBorder="1" applyAlignment="1">
      <alignment horizontal="center"/>
    </xf>
    <xf numFmtId="0" fontId="51" fillId="0" borderId="1" xfId="0" applyFont="1" applyBorder="1" applyAlignment="1">
      <alignment horizontal="center"/>
    </xf>
    <xf numFmtId="0" fontId="51" fillId="0" borderId="21" xfId="0" applyFont="1" applyBorder="1" applyAlignment="1">
      <alignment horizontal="center"/>
    </xf>
    <xf numFmtId="0" fontId="49" fillId="16" borderId="22" xfId="0" applyFont="1" applyFill="1" applyBorder="1" applyAlignment="1">
      <alignment horizontal="center" vertical="center"/>
    </xf>
    <xf numFmtId="165" fontId="7" fillId="16" borderId="24" xfId="0" applyNumberFormat="1" applyFont="1" applyFill="1" applyBorder="1" applyAlignment="1">
      <alignment horizontal="center" vertical="center"/>
    </xf>
    <xf numFmtId="2" fontId="52" fillId="0" borderId="1" xfId="0" applyNumberFormat="1" applyFont="1" applyBorder="1" applyAlignment="1">
      <alignment horizontal="center"/>
    </xf>
    <xf numFmtId="0" fontId="52" fillId="0" borderId="1" xfId="0" applyFont="1" applyBorder="1" applyAlignment="1">
      <alignment horizontal="center"/>
    </xf>
    <xf numFmtId="0" fontId="52" fillId="0" borderId="21" xfId="0" applyFont="1" applyBorder="1" applyAlignment="1">
      <alignment horizontal="center"/>
    </xf>
    <xf numFmtId="0" fontId="45" fillId="0" borderId="22" xfId="0" applyFont="1" applyBorder="1" applyAlignment="1">
      <alignment horizontal="center"/>
    </xf>
    <xf numFmtId="0" fontId="46" fillId="0" borderId="23" xfId="0" applyFont="1" applyBorder="1" applyAlignment="1">
      <alignment horizontal="center"/>
    </xf>
    <xf numFmtId="2" fontId="52" fillId="0" borderId="23" xfId="0" applyNumberFormat="1" applyFont="1" applyBorder="1" applyAlignment="1">
      <alignment horizontal="center"/>
    </xf>
    <xf numFmtId="0" fontId="52" fillId="0" borderId="23" xfId="0" applyFont="1" applyBorder="1" applyAlignment="1">
      <alignment horizontal="center"/>
    </xf>
    <xf numFmtId="0" fontId="52" fillId="0" borderId="24" xfId="0" applyFont="1" applyBorder="1" applyAlignment="1">
      <alignment horizontal="center"/>
    </xf>
    <xf numFmtId="0" fontId="49" fillId="0" borderId="0" xfId="0" applyFont="1" applyAlignment="1">
      <alignment horizontal="center" vertical="center"/>
    </xf>
    <xf numFmtId="0" fontId="49" fillId="2" borderId="1" xfId="0" applyFont="1" applyFill="1" applyBorder="1" applyAlignment="1">
      <alignment horizontal="center" vertical="center"/>
    </xf>
    <xf numFmtId="0" fontId="53" fillId="2" borderId="1" xfId="0" applyFont="1" applyFill="1" applyBorder="1" applyAlignment="1">
      <alignment horizontal="center" vertical="center"/>
    </xf>
    <xf numFmtId="0" fontId="49" fillId="2" borderId="36" xfId="0" applyFont="1" applyFill="1" applyBorder="1" applyAlignment="1">
      <alignment horizontal="center" vertical="center"/>
    </xf>
    <xf numFmtId="0" fontId="49" fillId="0" borderId="1" xfId="0" applyFont="1" applyBorder="1" applyAlignment="1">
      <alignment horizontal="center" vertical="center"/>
    </xf>
    <xf numFmtId="0" fontId="55" fillId="18" borderId="38" xfId="0" applyFont="1" applyFill="1" applyBorder="1" applyAlignment="1">
      <alignment horizontal="center" vertical="top"/>
    </xf>
    <xf numFmtId="0" fontId="55" fillId="19" borderId="38" xfId="0" applyFont="1" applyFill="1" applyBorder="1" applyAlignment="1">
      <alignment horizontal="center" vertical="top"/>
    </xf>
    <xf numFmtId="0" fontId="56" fillId="20" borderId="0" xfId="0" applyFont="1" applyFill="1" applyAlignment="1">
      <alignment horizontal="center" vertical="top" wrapText="1"/>
    </xf>
    <xf numFmtId="0" fontId="56" fillId="15" borderId="0" xfId="0" applyFont="1" applyFill="1" applyAlignment="1">
      <alignment horizontal="center" vertical="top" wrapText="1"/>
    </xf>
    <xf numFmtId="0" fontId="43" fillId="0" borderId="8" xfId="0" applyFont="1" applyBorder="1" applyAlignment="1">
      <alignment horizontal="center"/>
    </xf>
    <xf numFmtId="0" fontId="47" fillId="0" borderId="40" xfId="0" applyFont="1" applyBorder="1" applyAlignment="1">
      <alignment horizontal="center"/>
    </xf>
    <xf numFmtId="0" fontId="47" fillId="0" borderId="29" xfId="0" applyFont="1" applyBorder="1" applyAlignment="1">
      <alignment horizontal="center"/>
    </xf>
    <xf numFmtId="0" fontId="48" fillId="0" borderId="29" xfId="0" applyFont="1" applyBorder="1" applyAlignment="1">
      <alignment horizontal="center"/>
    </xf>
    <xf numFmtId="0" fontId="51" fillId="0" borderId="29" xfId="0" applyFont="1" applyBorder="1" applyAlignment="1">
      <alignment horizontal="center"/>
    </xf>
    <xf numFmtId="0" fontId="52" fillId="0" borderId="29" xfId="0" applyFont="1" applyBorder="1" applyAlignment="1">
      <alignment horizontal="center"/>
    </xf>
    <xf numFmtId="0" fontId="52" fillId="0" borderId="41" xfId="0" applyFont="1" applyBorder="1" applyAlignment="1">
      <alignment horizontal="center"/>
    </xf>
    <xf numFmtId="0" fontId="13" fillId="7" borderId="9" xfId="0" applyFont="1" applyFill="1" applyBorder="1" applyAlignment="1">
      <alignment horizontal="center" vertical="center"/>
    </xf>
    <xf numFmtId="0" fontId="20" fillId="11" borderId="9" xfId="0" applyFont="1" applyFill="1" applyBorder="1" applyAlignment="1">
      <alignment horizontal="center" vertical="center"/>
    </xf>
    <xf numFmtId="0" fontId="7" fillId="17" borderId="1" xfId="0" applyFont="1" applyFill="1" applyBorder="1" applyAlignment="1">
      <alignment horizontal="center" vertical="center"/>
    </xf>
    <xf numFmtId="0" fontId="57" fillId="0" borderId="42" xfId="0" applyFont="1" applyBorder="1" applyAlignment="1">
      <alignment horizontal="center" vertical="center"/>
    </xf>
    <xf numFmtId="0" fontId="58" fillId="0" borderId="30" xfId="0" applyFont="1" applyBorder="1" applyAlignment="1">
      <alignment horizontal="left" vertical="center"/>
    </xf>
    <xf numFmtId="0" fontId="0" fillId="0" borderId="0" xfId="0" applyProtection="1">
      <protection locked="0"/>
    </xf>
    <xf numFmtId="2" fontId="8" fillId="0" borderId="1" xfId="0" applyNumberFormat="1" applyFont="1" applyBorder="1" applyAlignment="1" applyProtection="1">
      <alignment horizontal="center" vertical="center"/>
      <protection locked="0"/>
    </xf>
    <xf numFmtId="0" fontId="0" fillId="0" borderId="0" xfId="0" applyAlignment="1" applyProtection="1">
      <alignment horizontal="center" vertical="center"/>
      <protection hidden="1"/>
    </xf>
    <xf numFmtId="0" fontId="3" fillId="0" borderId="0" xfId="0" applyFont="1" applyAlignment="1" applyProtection="1">
      <alignment horizontal="center" vertical="center"/>
      <protection hidden="1"/>
    </xf>
    <xf numFmtId="0" fontId="2" fillId="0" borderId="0" xfId="0" applyFont="1" applyAlignment="1" applyProtection="1">
      <alignment horizontal="center" vertical="center"/>
      <protection hidden="1"/>
    </xf>
    <xf numFmtId="0" fontId="9" fillId="3" borderId="3" xfId="0" applyFont="1" applyFill="1" applyBorder="1" applyAlignment="1" applyProtection="1">
      <alignment vertical="center"/>
      <protection hidden="1"/>
    </xf>
    <xf numFmtId="0" fontId="10" fillId="3" borderId="4" xfId="0" applyFont="1" applyFill="1" applyBorder="1" applyAlignment="1" applyProtection="1">
      <alignment vertical="center"/>
      <protection hidden="1"/>
    </xf>
    <xf numFmtId="0" fontId="12" fillId="3" borderId="6" xfId="0" applyFont="1" applyFill="1" applyBorder="1" applyAlignment="1" applyProtection="1">
      <alignment vertical="center"/>
      <protection hidden="1"/>
    </xf>
    <xf numFmtId="0" fontId="10" fillId="3" borderId="7" xfId="0" applyFont="1" applyFill="1" applyBorder="1" applyAlignment="1" applyProtection="1">
      <alignment vertical="center"/>
      <protection hidden="1"/>
    </xf>
    <xf numFmtId="0" fontId="13" fillId="0" borderId="9"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5" fillId="0" borderId="7" xfId="0" applyFont="1" applyBorder="1" applyAlignment="1" applyProtection="1">
      <alignment horizontal="center" vertical="center"/>
      <protection hidden="1"/>
    </xf>
    <xf numFmtId="1" fontId="16" fillId="4" borderId="9" xfId="0" applyNumberFormat="1" applyFont="1" applyFill="1" applyBorder="1" applyAlignment="1" applyProtection="1">
      <alignment horizontal="center" vertical="center"/>
      <protection hidden="1"/>
    </xf>
    <xf numFmtId="164" fontId="16" fillId="4" borderId="9" xfId="0" applyNumberFormat="1" applyFont="1" applyFill="1" applyBorder="1" applyAlignment="1" applyProtection="1">
      <alignment horizontal="center" vertical="center"/>
      <protection hidden="1"/>
    </xf>
    <xf numFmtId="0" fontId="17" fillId="0" borderId="7" xfId="0" applyFont="1" applyBorder="1" applyAlignment="1" applyProtection="1">
      <alignment horizontal="center" vertical="center"/>
      <protection hidden="1"/>
    </xf>
    <xf numFmtId="1" fontId="12" fillId="6" borderId="0" xfId="0" applyNumberFormat="1" applyFont="1" applyFill="1" applyAlignment="1" applyProtection="1">
      <alignment horizontal="center" vertical="center"/>
      <protection hidden="1"/>
    </xf>
    <xf numFmtId="0" fontId="13" fillId="7" borderId="12" xfId="0" applyFont="1" applyFill="1" applyBorder="1" applyAlignment="1" applyProtection="1">
      <alignment horizontal="center" vertical="center"/>
      <protection hidden="1"/>
    </xf>
    <xf numFmtId="0" fontId="0" fillId="8" borderId="0" xfId="0" applyFill="1" applyAlignment="1" applyProtection="1">
      <alignment horizontal="center" vertical="center"/>
      <protection hidden="1"/>
    </xf>
    <xf numFmtId="0" fontId="0" fillId="0" borderId="19" xfId="0" applyBorder="1" applyAlignment="1" applyProtection="1">
      <alignment horizontal="center" vertical="center"/>
      <protection hidden="1"/>
    </xf>
    <xf numFmtId="0" fontId="20" fillId="2" borderId="19" xfId="0" applyFont="1" applyFill="1" applyBorder="1" applyAlignment="1" applyProtection="1">
      <alignment horizontal="center" vertical="center"/>
      <protection hidden="1"/>
    </xf>
    <xf numFmtId="0" fontId="8" fillId="0" borderId="19" xfId="0" applyFont="1" applyBorder="1" applyAlignment="1" applyProtection="1">
      <alignment horizontal="center" vertical="center" wrapText="1"/>
      <protection hidden="1"/>
    </xf>
    <xf numFmtId="164" fontId="8" fillId="0" borderId="19" xfId="0" applyNumberFormat="1" applyFont="1" applyBorder="1" applyAlignment="1" applyProtection="1">
      <alignment horizontal="center" vertical="center" wrapText="1"/>
      <protection hidden="1"/>
    </xf>
    <xf numFmtId="0" fontId="0" fillId="9" borderId="0" xfId="0" applyFill="1" applyAlignment="1" applyProtection="1">
      <alignment horizontal="center" vertical="center"/>
      <protection hidden="1"/>
    </xf>
    <xf numFmtId="0" fontId="20" fillId="2" borderId="1" xfId="0" applyFont="1" applyFill="1" applyBorder="1" applyAlignment="1" applyProtection="1">
      <alignment horizontal="center" vertical="center"/>
      <protection hidden="1"/>
    </xf>
    <xf numFmtId="49" fontId="0" fillId="0" borderId="18" xfId="0" applyNumberFormat="1" applyBorder="1" applyAlignment="1" applyProtection="1">
      <alignment horizontal="center" vertical="center"/>
      <protection hidden="1"/>
    </xf>
    <xf numFmtId="0" fontId="8" fillId="0" borderId="1" xfId="0" applyFont="1" applyBorder="1" applyAlignment="1" applyProtection="1">
      <alignment horizontal="center" vertical="center" wrapText="1"/>
      <protection hidden="1"/>
    </xf>
    <xf numFmtId="164" fontId="8" fillId="0" borderId="1" xfId="0" applyNumberFormat="1" applyFont="1" applyBorder="1" applyAlignment="1" applyProtection="1">
      <alignment horizontal="center" vertical="center" wrapText="1"/>
      <protection hidden="1"/>
    </xf>
    <xf numFmtId="0" fontId="0" fillId="10" borderId="0" xfId="0" applyFill="1" applyAlignment="1" applyProtection="1">
      <alignment horizontal="center" vertical="center"/>
      <protection hidden="1"/>
    </xf>
    <xf numFmtId="0" fontId="8" fillId="0" borderId="1" xfId="0" applyFont="1" applyBorder="1" applyAlignment="1" applyProtection="1">
      <alignment horizontal="center" vertical="center"/>
      <protection hidden="1"/>
    </xf>
    <xf numFmtId="2" fontId="8" fillId="0" borderId="1" xfId="0" applyNumberFormat="1" applyFont="1" applyBorder="1" applyAlignment="1" applyProtection="1">
      <alignment horizontal="center" vertical="center" wrapText="1"/>
      <protection hidden="1"/>
    </xf>
    <xf numFmtId="49" fontId="21" fillId="0" borderId="0" xfId="0" applyNumberFormat="1" applyFont="1" applyAlignment="1" applyProtection="1">
      <alignment horizontal="center" vertical="center"/>
      <protection hidden="1"/>
    </xf>
    <xf numFmtId="0" fontId="3" fillId="0" borderId="23" xfId="0" applyFont="1" applyBorder="1" applyAlignment="1" applyProtection="1">
      <alignment horizontal="center" vertical="center"/>
      <protection hidden="1"/>
    </xf>
    <xf numFmtId="0" fontId="0" fillId="0" borderId="23" xfId="0" applyBorder="1" applyAlignment="1" applyProtection="1">
      <alignment horizontal="center" vertical="center"/>
      <protection hidden="1"/>
    </xf>
    <xf numFmtId="1" fontId="22" fillId="11" borderId="9" xfId="0" applyNumberFormat="1" applyFont="1" applyFill="1" applyBorder="1" applyAlignment="1" applyProtection="1">
      <alignment horizontal="center" vertical="center" wrapText="1"/>
      <protection hidden="1"/>
    </xf>
    <xf numFmtId="49" fontId="2" fillId="0" borderId="4" xfId="0" applyNumberFormat="1" applyFont="1" applyBorder="1" applyAlignment="1" applyProtection="1">
      <alignment vertical="center"/>
      <protection hidden="1"/>
    </xf>
    <xf numFmtId="49" fontId="0" fillId="0" borderId="4" xfId="0" applyNumberFormat="1" applyBorder="1" applyAlignment="1" applyProtection="1">
      <alignment vertical="center"/>
      <protection hidden="1"/>
    </xf>
    <xf numFmtId="0" fontId="13" fillId="7" borderId="9" xfId="0" applyFont="1" applyFill="1" applyBorder="1" applyAlignment="1" applyProtection="1">
      <alignment horizontal="center" vertical="center"/>
      <protection hidden="1"/>
    </xf>
    <xf numFmtId="0" fontId="0" fillId="0" borderId="1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1" fontId="20" fillId="11" borderId="9" xfId="0" applyNumberFormat="1" applyFont="1" applyFill="1" applyBorder="1" applyAlignment="1" applyProtection="1">
      <alignment horizontal="center" vertical="center"/>
      <protection hidden="1"/>
    </xf>
    <xf numFmtId="0" fontId="23" fillId="12" borderId="0" xfId="0" applyFont="1" applyFill="1" applyAlignment="1" applyProtection="1">
      <alignment horizontal="center" vertical="center"/>
      <protection hidden="1"/>
    </xf>
    <xf numFmtId="0" fontId="24" fillId="9" borderId="0" xfId="0" applyFont="1" applyFill="1" applyAlignment="1" applyProtection="1">
      <alignment horizontal="center" vertical="center"/>
      <protection hidden="1"/>
    </xf>
    <xf numFmtId="0" fontId="25" fillId="10" borderId="0" xfId="0" applyFont="1" applyFill="1" applyAlignment="1" applyProtection="1">
      <alignment horizontal="center" vertical="center"/>
      <protection hidden="1"/>
    </xf>
    <xf numFmtId="0" fontId="25" fillId="8" borderId="0" xfId="0" applyFont="1" applyFill="1" applyAlignment="1" applyProtection="1">
      <alignment horizontal="center" vertical="center"/>
      <protection hidden="1"/>
    </xf>
    <xf numFmtId="1" fontId="0" fillId="0" borderId="19" xfId="0" applyNumberFormat="1" applyBorder="1" applyAlignment="1" applyProtection="1">
      <alignment horizontal="center" vertical="center"/>
      <protection hidden="1"/>
    </xf>
    <xf numFmtId="1" fontId="0" fillId="0" borderId="1" xfId="0" applyNumberFormat="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1" fontId="0" fillId="0" borderId="25" xfId="0" applyNumberFormat="1" applyBorder="1" applyAlignment="1" applyProtection="1">
      <alignment horizontal="center" vertical="center"/>
      <protection hidden="1"/>
    </xf>
    <xf numFmtId="164" fontId="0" fillId="0" borderId="28" xfId="0" applyNumberForma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1" fontId="13" fillId="11" borderId="9" xfId="0" applyNumberFormat="1" applyFont="1" applyFill="1" applyBorder="1" applyAlignment="1" applyProtection="1">
      <alignment horizontal="center" vertical="center"/>
      <protection hidden="1"/>
    </xf>
    <xf numFmtId="164" fontId="13" fillId="11" borderId="9" xfId="0" applyNumberFormat="1" applyFont="1" applyFill="1" applyBorder="1" applyAlignment="1" applyProtection="1">
      <alignment horizontal="center" vertical="center"/>
      <protection hidden="1"/>
    </xf>
    <xf numFmtId="0" fontId="0" fillId="0" borderId="0" xfId="0" applyAlignment="1" applyProtection="1">
      <alignment vertical="center"/>
      <protection hidden="1"/>
    </xf>
    <xf numFmtId="1" fontId="0" fillId="2" borderId="1" xfId="0" applyNumberFormat="1" applyFill="1" applyBorder="1" applyAlignment="1" applyProtection="1">
      <alignment horizontal="center"/>
      <protection hidden="1"/>
    </xf>
    <xf numFmtId="1" fontId="12" fillId="11" borderId="9" xfId="0" applyNumberFormat="1" applyFont="1" applyFill="1" applyBorder="1" applyAlignment="1" applyProtection="1">
      <alignment horizontal="center" vertical="center"/>
      <protection hidden="1"/>
    </xf>
    <xf numFmtId="0" fontId="0" fillId="0" borderId="0" xfId="0" applyProtection="1">
      <protection hidden="1"/>
    </xf>
    <xf numFmtId="0" fontId="49" fillId="0" borderId="0" xfId="0" applyFont="1"/>
    <xf numFmtId="165" fontId="49" fillId="0" borderId="43" xfId="0" applyNumberFormat="1" applyFont="1" applyBorder="1" applyAlignment="1">
      <alignment horizontal="center" vertical="center"/>
    </xf>
    <xf numFmtId="165" fontId="49" fillId="0" borderId="37" xfId="0" applyNumberFormat="1" applyFont="1" applyBorder="1" applyAlignment="1">
      <alignment horizontal="center" vertical="center"/>
    </xf>
    <xf numFmtId="165" fontId="49" fillId="0" borderId="6" xfId="0" applyNumberFormat="1" applyFont="1" applyBorder="1" applyAlignment="1">
      <alignment horizontal="center" vertical="center"/>
    </xf>
    <xf numFmtId="165" fontId="49" fillId="0" borderId="8" xfId="0" applyNumberFormat="1" applyFont="1" applyBorder="1" applyAlignment="1">
      <alignment horizontal="center" vertical="center"/>
    </xf>
    <xf numFmtId="0" fontId="7" fillId="0" borderId="6" xfId="0" applyFont="1" applyBorder="1" applyAlignment="1">
      <alignment horizontal="center" vertical="center"/>
    </xf>
    <xf numFmtId="0" fontId="7" fillId="0" borderId="8" xfId="0" applyFont="1" applyBorder="1" applyAlignment="1">
      <alignment horizontal="center" vertical="center"/>
    </xf>
    <xf numFmtId="0" fontId="49" fillId="0" borderId="0" xfId="0" applyFont="1" applyAlignment="1">
      <alignment horizontal="center"/>
    </xf>
    <xf numFmtId="0" fontId="49" fillId="0" borderId="43" xfId="0" applyFont="1" applyBorder="1" applyAlignment="1">
      <alignment horizontal="center" vertical="center"/>
    </xf>
    <xf numFmtId="0" fontId="49" fillId="0" borderId="6" xfId="0" applyFont="1" applyBorder="1" applyAlignment="1">
      <alignment horizontal="center" vertical="center"/>
    </xf>
    <xf numFmtId="0" fontId="49" fillId="0" borderId="7" xfId="0" applyFont="1" applyBorder="1" applyAlignment="1">
      <alignment horizontal="center" vertical="center"/>
    </xf>
    <xf numFmtId="0" fontId="7" fillId="0" borderId="10" xfId="0" applyFont="1" applyBorder="1" applyAlignment="1">
      <alignment horizontal="center" vertical="center"/>
    </xf>
    <xf numFmtId="0" fontId="7" fillId="0" borderId="26" xfId="0" applyFont="1" applyBorder="1" applyAlignment="1">
      <alignment horizontal="center" vertical="center"/>
    </xf>
    <xf numFmtId="0" fontId="7" fillId="0" borderId="11" xfId="0" applyFont="1" applyBorder="1" applyAlignment="1">
      <alignment horizontal="center" vertical="center"/>
    </xf>
    <xf numFmtId="0" fontId="0" fillId="0" borderId="0" xfId="0" applyAlignment="1" applyProtection="1">
      <alignment horizontal="center" vertical="center"/>
      <protection locked="0"/>
    </xf>
    <xf numFmtId="0" fontId="0" fillId="0" borderId="46" xfId="0" applyBorder="1" applyProtection="1">
      <protection locked="0"/>
    </xf>
    <xf numFmtId="0" fontId="0" fillId="0" borderId="44" xfId="0" applyBorder="1" applyProtection="1">
      <protection hidden="1"/>
    </xf>
    <xf numFmtId="0" fontId="0" fillId="0" borderId="46" xfId="0" applyBorder="1" applyProtection="1">
      <protection hidden="1"/>
    </xf>
    <xf numFmtId="0" fontId="0" fillId="0" borderId="45" xfId="0" applyBorder="1" applyProtection="1">
      <protection hidden="1"/>
    </xf>
    <xf numFmtId="0" fontId="0" fillId="0" borderId="1"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2" fillId="0" borderId="9" xfId="0" applyFont="1" applyBorder="1" applyAlignment="1" applyProtection="1">
      <alignment horizontal="center" vertical="center"/>
      <protection locked="0"/>
    </xf>
    <xf numFmtId="2" fontId="49" fillId="0" borderId="37" xfId="0" applyNumberFormat="1" applyFont="1" applyBorder="1" applyAlignment="1">
      <alignment horizontal="center" vertical="center"/>
    </xf>
    <xf numFmtId="0" fontId="49" fillId="0" borderId="37" xfId="0" applyFont="1" applyBorder="1"/>
    <xf numFmtId="0" fontId="49" fillId="0" borderId="43" xfId="0" applyFont="1" applyBorder="1"/>
    <xf numFmtId="0" fontId="49" fillId="0" borderId="6" xfId="0" applyFont="1" applyBorder="1"/>
    <xf numFmtId="0" fontId="49" fillId="0" borderId="8" xfId="0" applyFont="1" applyBorder="1"/>
    <xf numFmtId="0" fontId="7" fillId="0" borderId="9" xfId="0" applyFont="1" applyBorder="1" applyAlignment="1">
      <alignment horizontal="center"/>
    </xf>
    <xf numFmtId="0" fontId="7" fillId="0" borderId="9" xfId="0" applyFont="1" applyBorder="1"/>
    <xf numFmtId="9" fontId="49" fillId="0" borderId="37" xfId="0" applyNumberFormat="1" applyFont="1" applyBorder="1"/>
    <xf numFmtId="2" fontId="49" fillId="0" borderId="8" xfId="0" applyNumberFormat="1" applyFont="1" applyBorder="1" applyAlignment="1">
      <alignment horizontal="center" vertical="center"/>
    </xf>
    <xf numFmtId="0" fontId="7" fillId="0" borderId="7" xfId="0" applyFont="1" applyBorder="1" applyAlignment="1">
      <alignment horizontal="center" vertical="center"/>
    </xf>
    <xf numFmtId="165" fontId="49" fillId="0" borderId="0" xfId="0" applyNumberFormat="1" applyFont="1" applyAlignment="1">
      <alignment horizontal="center" vertical="center"/>
    </xf>
    <xf numFmtId="165" fontId="49" fillId="0" borderId="7" xfId="0" applyNumberFormat="1" applyFont="1" applyBorder="1" applyAlignment="1">
      <alignment horizontal="center" vertical="center"/>
    </xf>
    <xf numFmtId="0" fontId="61" fillId="21" borderId="9" xfId="0" applyFont="1" applyFill="1" applyBorder="1" applyAlignment="1" applyProtection="1">
      <alignment horizontal="center" vertical="center"/>
      <protection hidden="1"/>
    </xf>
    <xf numFmtId="0" fontId="62" fillId="21" borderId="2" xfId="0" applyFont="1" applyFill="1" applyBorder="1" applyAlignment="1">
      <alignment horizontal="center" vertical="center" wrapText="1"/>
    </xf>
    <xf numFmtId="2" fontId="62" fillId="21" borderId="2" xfId="0" applyNumberFormat="1" applyFont="1" applyFill="1" applyBorder="1" applyAlignment="1">
      <alignment horizontal="center" vertical="center" wrapText="1"/>
    </xf>
    <xf numFmtId="0" fontId="62" fillId="21" borderId="1" xfId="0" applyFont="1" applyFill="1" applyBorder="1" applyAlignment="1">
      <alignment horizontal="center" vertical="center" wrapText="1"/>
    </xf>
    <xf numFmtId="164" fontId="62" fillId="21" borderId="21" xfId="0" applyNumberFormat="1" applyFont="1" applyFill="1" applyBorder="1" applyAlignment="1">
      <alignment horizontal="center" vertical="center" wrapText="1"/>
    </xf>
    <xf numFmtId="164" fontId="62" fillId="21" borderId="25" xfId="0" applyNumberFormat="1" applyFont="1" applyFill="1" applyBorder="1" applyAlignment="1">
      <alignment horizontal="center" vertical="center" wrapText="1"/>
    </xf>
    <xf numFmtId="0" fontId="62" fillId="21" borderId="25" xfId="0" applyFont="1" applyFill="1" applyBorder="1" applyAlignment="1">
      <alignment horizontal="center" vertical="center" wrapText="1"/>
    </xf>
    <xf numFmtId="164" fontId="62" fillId="21" borderId="28" xfId="0" applyNumberFormat="1" applyFont="1" applyFill="1" applyBorder="1" applyAlignment="1">
      <alignment horizontal="center" vertical="center" wrapText="1"/>
    </xf>
    <xf numFmtId="0" fontId="63" fillId="21" borderId="9" xfId="0" applyFont="1" applyFill="1" applyBorder="1" applyAlignment="1">
      <alignment horizontal="center" vertical="center" wrapText="1"/>
    </xf>
    <xf numFmtId="2" fontId="63" fillId="21" borderId="9" xfId="0" applyNumberFormat="1" applyFont="1" applyFill="1" applyBorder="1" applyAlignment="1">
      <alignment horizontal="center" vertical="center" wrapText="1"/>
    </xf>
    <xf numFmtId="0" fontId="30" fillId="22" borderId="9" xfId="0" applyFont="1" applyFill="1" applyBorder="1" applyAlignment="1" applyProtection="1">
      <alignment horizontal="center" vertical="center"/>
      <protection hidden="1"/>
    </xf>
    <xf numFmtId="0" fontId="0" fillId="22" borderId="2" xfId="0" applyFill="1" applyBorder="1" applyAlignment="1">
      <alignment horizontal="center" vertical="center" wrapText="1"/>
    </xf>
    <xf numFmtId="2" fontId="0" fillId="22" borderId="2" xfId="0" applyNumberFormat="1" applyFill="1" applyBorder="1" applyAlignment="1">
      <alignment horizontal="center" vertical="center" wrapText="1"/>
    </xf>
    <xf numFmtId="0" fontId="0" fillId="22" borderId="1" xfId="0" applyFill="1" applyBorder="1" applyAlignment="1">
      <alignment horizontal="center" vertical="center" wrapText="1"/>
    </xf>
    <xf numFmtId="164" fontId="0" fillId="22" borderId="21" xfId="0" applyNumberFormat="1" applyFill="1" applyBorder="1" applyAlignment="1">
      <alignment horizontal="center" vertical="center" wrapText="1"/>
    </xf>
    <xf numFmtId="0" fontId="0" fillId="22" borderId="27" xfId="0" applyFill="1" applyBorder="1" applyAlignment="1">
      <alignment horizontal="center" vertical="center" wrapText="1"/>
    </xf>
    <xf numFmtId="164" fontId="0" fillId="22" borderId="25" xfId="0" applyNumberFormat="1" applyFill="1" applyBorder="1" applyAlignment="1">
      <alignment horizontal="center" vertical="center" wrapText="1"/>
    </xf>
    <xf numFmtId="0" fontId="0" fillId="22" borderId="25" xfId="0" applyFill="1" applyBorder="1" applyAlignment="1">
      <alignment horizontal="center" vertical="center" wrapText="1"/>
    </xf>
    <xf numFmtId="164" fontId="0" fillId="22" borderId="28" xfId="0" applyNumberFormat="1" applyFill="1" applyBorder="1" applyAlignment="1">
      <alignment horizontal="center" vertical="center" wrapText="1"/>
    </xf>
    <xf numFmtId="0" fontId="2" fillId="22" borderId="9" xfId="0" applyFont="1" applyFill="1" applyBorder="1" applyAlignment="1">
      <alignment horizontal="center" vertical="center" wrapText="1"/>
    </xf>
    <xf numFmtId="2" fontId="2" fillId="22" borderId="9" xfId="0" applyNumberFormat="1" applyFont="1" applyFill="1" applyBorder="1" applyAlignment="1">
      <alignment horizontal="center" vertical="center" wrapText="1"/>
    </xf>
    <xf numFmtId="0" fontId="30" fillId="10" borderId="9" xfId="0" applyFont="1" applyFill="1" applyBorder="1" applyAlignment="1" applyProtection="1">
      <alignment horizontal="center" vertical="center"/>
      <protection hidden="1"/>
    </xf>
    <xf numFmtId="0" fontId="0" fillId="10" borderId="2" xfId="0" applyFill="1" applyBorder="1" applyAlignment="1">
      <alignment horizontal="center" vertical="center" wrapText="1"/>
    </xf>
    <xf numFmtId="2" fontId="0" fillId="10" borderId="2" xfId="0" applyNumberFormat="1" applyFill="1" applyBorder="1" applyAlignment="1">
      <alignment horizontal="center" vertical="center" wrapText="1"/>
    </xf>
    <xf numFmtId="164" fontId="0" fillId="10" borderId="21" xfId="0" applyNumberFormat="1" applyFill="1" applyBorder="1" applyAlignment="1">
      <alignment horizontal="center" vertical="center" wrapText="1"/>
    </xf>
    <xf numFmtId="2" fontId="0" fillId="10" borderId="30" xfId="0" applyNumberFormat="1" applyFill="1" applyBorder="1" applyAlignment="1">
      <alignment horizontal="center" vertical="center" wrapText="1"/>
    </xf>
    <xf numFmtId="0" fontId="0" fillId="23" borderId="2" xfId="0" applyFill="1" applyBorder="1" applyAlignment="1">
      <alignment horizontal="center" vertical="center" wrapText="1"/>
    </xf>
    <xf numFmtId="2" fontId="0" fillId="23" borderId="2" xfId="0" applyNumberFormat="1" applyFill="1" applyBorder="1" applyAlignment="1">
      <alignment horizontal="center" vertical="center" wrapText="1"/>
    </xf>
    <xf numFmtId="2" fontId="0" fillId="23" borderId="30" xfId="0" applyNumberFormat="1" applyFill="1" applyBorder="1" applyAlignment="1">
      <alignment horizontal="center" vertical="center" wrapText="1"/>
    </xf>
    <xf numFmtId="164" fontId="0" fillId="23" borderId="21" xfId="0" applyNumberFormat="1" applyFill="1" applyBorder="1" applyAlignment="1">
      <alignment horizontal="center" vertical="center" wrapText="1"/>
    </xf>
    <xf numFmtId="0" fontId="0" fillId="10" borderId="1" xfId="0" applyFill="1" applyBorder="1" applyAlignment="1">
      <alignment horizontal="center" vertical="center" wrapText="1"/>
    </xf>
    <xf numFmtId="0" fontId="0" fillId="10" borderId="27" xfId="0" applyFill="1" applyBorder="1" applyAlignment="1">
      <alignment horizontal="center" vertical="center" wrapText="1"/>
    </xf>
    <xf numFmtId="164" fontId="0" fillId="10" borderId="25" xfId="0" applyNumberFormat="1" applyFill="1" applyBorder="1" applyAlignment="1">
      <alignment horizontal="center" vertical="center" wrapText="1"/>
    </xf>
    <xf numFmtId="0" fontId="0" fillId="10" borderId="25" xfId="0" applyFill="1" applyBorder="1" applyAlignment="1">
      <alignment horizontal="center" vertical="center" wrapText="1"/>
    </xf>
    <xf numFmtId="164" fontId="0" fillId="10" borderId="28" xfId="0" applyNumberFormat="1" applyFill="1" applyBorder="1" applyAlignment="1">
      <alignment horizontal="center" vertical="center" wrapText="1"/>
    </xf>
    <xf numFmtId="0" fontId="2" fillId="10" borderId="9" xfId="0" applyFont="1" applyFill="1" applyBorder="1" applyAlignment="1">
      <alignment horizontal="center" vertical="center" wrapText="1"/>
    </xf>
    <xf numFmtId="2" fontId="2" fillId="10" borderId="9" xfId="0" applyNumberFormat="1" applyFont="1" applyFill="1" applyBorder="1" applyAlignment="1">
      <alignment horizontal="center" vertical="center" wrapText="1"/>
    </xf>
    <xf numFmtId="0" fontId="0" fillId="23" borderId="1" xfId="0" applyFill="1" applyBorder="1" applyAlignment="1">
      <alignment horizontal="center" vertical="center" wrapText="1"/>
    </xf>
    <xf numFmtId="0" fontId="0" fillId="24" borderId="2" xfId="0" applyFill="1" applyBorder="1" applyAlignment="1">
      <alignment horizontal="center" vertical="center" wrapText="1"/>
    </xf>
    <xf numFmtId="164" fontId="0" fillId="24" borderId="1" xfId="0" applyNumberFormat="1" applyFill="1" applyBorder="1" applyAlignment="1">
      <alignment horizontal="center" vertical="center" wrapText="1"/>
    </xf>
    <xf numFmtId="0" fontId="0" fillId="24" borderId="1" xfId="0" applyFill="1" applyBorder="1" applyAlignment="1">
      <alignment horizontal="center" vertical="center"/>
    </xf>
    <xf numFmtId="164" fontId="0" fillId="24" borderId="21" xfId="0" applyNumberFormat="1" applyFill="1" applyBorder="1" applyAlignment="1">
      <alignment horizontal="center" vertical="center" wrapText="1"/>
    </xf>
    <xf numFmtId="2" fontId="62" fillId="21" borderId="47" xfId="0" applyNumberFormat="1" applyFont="1" applyFill="1" applyBorder="1" applyAlignment="1">
      <alignment horizontal="center" vertical="center" wrapText="1"/>
    </xf>
    <xf numFmtId="2" fontId="0" fillId="23" borderId="47" xfId="0" applyNumberFormat="1" applyFill="1" applyBorder="1" applyAlignment="1">
      <alignment horizontal="center" vertical="center" wrapText="1"/>
    </xf>
    <xf numFmtId="0" fontId="0" fillId="23" borderId="25" xfId="0" applyFill="1" applyBorder="1" applyAlignment="1">
      <alignment horizontal="center" vertical="center" wrapText="1"/>
    </xf>
    <xf numFmtId="164" fontId="0" fillId="23" borderId="28" xfId="0" applyNumberFormat="1" applyFill="1" applyBorder="1" applyAlignment="1">
      <alignment horizontal="center" vertical="center" wrapText="1"/>
    </xf>
    <xf numFmtId="2" fontId="49" fillId="0" borderId="0" xfId="0" applyNumberFormat="1" applyFont="1" applyAlignment="1">
      <alignment horizontal="center" vertical="center"/>
    </xf>
    <xf numFmtId="0" fontId="59" fillId="0" borderId="0" xfId="0" applyFont="1" applyAlignment="1">
      <alignment horizontal="center" vertical="center"/>
    </xf>
    <xf numFmtId="0" fontId="7" fillId="0" borderId="0" xfId="0" applyFont="1" applyAlignment="1">
      <alignment horizontal="center" vertical="center"/>
    </xf>
    <xf numFmtId="0" fontId="58" fillId="0" borderId="50" xfId="0" applyFont="1" applyBorder="1" applyAlignment="1" applyProtection="1">
      <alignment horizontal="left" vertical="center"/>
      <protection locked="0"/>
    </xf>
    <xf numFmtId="0" fontId="58" fillId="0" borderId="53" xfId="0" applyFont="1" applyBorder="1" applyAlignment="1" applyProtection="1">
      <alignment horizontal="left" vertical="center"/>
      <protection locked="0"/>
    </xf>
    <xf numFmtId="0" fontId="0" fillId="0" borderId="45" xfId="0" applyBorder="1" applyAlignment="1" applyProtection="1">
      <alignment horizontal="center" vertical="center"/>
      <protection hidden="1"/>
    </xf>
    <xf numFmtId="0" fontId="0" fillId="0" borderId="44" xfId="0" applyBorder="1" applyAlignment="1" applyProtection="1">
      <alignment horizontal="center" vertical="center"/>
      <protection hidden="1"/>
    </xf>
    <xf numFmtId="0" fontId="66" fillId="0" borderId="0" xfId="4" applyFill="1" applyBorder="1" applyProtection="1">
      <protection locked="0"/>
    </xf>
    <xf numFmtId="0" fontId="0" fillId="0" borderId="0" xfId="0" applyAlignment="1" applyProtection="1">
      <alignment horizontal="right" vertical="center"/>
      <protection hidden="1"/>
    </xf>
    <xf numFmtId="2" fontId="0" fillId="0" borderId="0" xfId="0" applyNumberFormat="1" applyAlignment="1" applyProtection="1">
      <alignment horizontal="right" vertical="center"/>
      <protection hidden="1"/>
    </xf>
    <xf numFmtId="0" fontId="49" fillId="0" borderId="12"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hidden="1"/>
    </xf>
    <xf numFmtId="0" fontId="7" fillId="0" borderId="18" xfId="0" applyFont="1" applyBorder="1" applyAlignment="1" applyProtection="1">
      <alignment horizontal="center" vertical="center"/>
      <protection hidden="1"/>
    </xf>
    <xf numFmtId="0" fontId="7" fillId="0" borderId="19" xfId="0" applyFont="1" applyBorder="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0" fillId="0" borderId="2" xfId="0" applyBorder="1" applyAlignment="1" applyProtection="1">
      <alignment horizontal="center" vertical="center"/>
      <protection locked="0"/>
    </xf>
    <xf numFmtId="1" fontId="70" fillId="0" borderId="13" xfId="0" applyNumberFormat="1" applyFont="1" applyBorder="1" applyAlignment="1" applyProtection="1">
      <alignment horizontal="center" vertical="center"/>
      <protection hidden="1"/>
    </xf>
    <xf numFmtId="2" fontId="70" fillId="0" borderId="14" xfId="0" applyNumberFormat="1" applyFont="1" applyBorder="1" applyAlignment="1" applyProtection="1">
      <alignment horizontal="center" vertical="center"/>
      <protection hidden="1"/>
    </xf>
    <xf numFmtId="0" fontId="17" fillId="0" borderId="0" xfId="0" applyFont="1" applyAlignment="1">
      <alignment horizontal="center" vertical="center"/>
    </xf>
    <xf numFmtId="0" fontId="5" fillId="0" borderId="1" xfId="0" applyFont="1" applyBorder="1" applyAlignment="1">
      <alignment horizontal="center" vertical="center"/>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17" xfId="0" applyFont="1" applyBorder="1" applyAlignment="1">
      <alignment horizontal="center" vertical="center"/>
    </xf>
    <xf numFmtId="0" fontId="5" fillId="0" borderId="2" xfId="0" applyFont="1" applyBorder="1" applyAlignment="1">
      <alignment horizontal="center" vertical="center"/>
    </xf>
    <xf numFmtId="0" fontId="5" fillId="0" borderId="21" xfId="0" applyFont="1" applyBorder="1" applyAlignment="1">
      <alignment horizontal="center" vertical="center"/>
    </xf>
    <xf numFmtId="0" fontId="5" fillId="0" borderId="22" xfId="0" applyFont="1" applyBorder="1" applyAlignment="1">
      <alignment horizontal="center"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71" fillId="0" borderId="55" xfId="0" applyFont="1" applyBorder="1" applyAlignment="1">
      <alignment horizontal="center" vertical="center" wrapText="1"/>
    </xf>
    <xf numFmtId="0" fontId="49" fillId="0" borderId="0" xfId="0" applyFont="1" applyAlignment="1">
      <alignment vertical="center"/>
    </xf>
    <xf numFmtId="1" fontId="73" fillId="27" borderId="55" xfId="0" applyNumberFormat="1" applyFont="1" applyFill="1" applyBorder="1" applyAlignment="1">
      <alignment horizontal="center" vertical="center" shrinkToFit="1"/>
    </xf>
    <xf numFmtId="0" fontId="71" fillId="27" borderId="55" xfId="0" applyFont="1" applyFill="1" applyBorder="1" applyAlignment="1">
      <alignment horizontal="center" vertical="center" wrapText="1"/>
    </xf>
    <xf numFmtId="1" fontId="73" fillId="0" borderId="55" xfId="0" applyNumberFormat="1" applyFont="1" applyBorder="1" applyAlignment="1">
      <alignment horizontal="center" vertical="center" shrinkToFit="1"/>
    </xf>
    <xf numFmtId="0" fontId="71" fillId="0" borderId="55" xfId="0" applyFont="1" applyBorder="1" applyAlignment="1">
      <alignment horizontal="right" vertical="center" wrapText="1"/>
    </xf>
    <xf numFmtId="0" fontId="71" fillId="27" borderId="55" xfId="0" applyFont="1" applyFill="1" applyBorder="1" applyAlignment="1">
      <alignment horizontal="right" vertical="center" wrapText="1"/>
    </xf>
    <xf numFmtId="0" fontId="71" fillId="0" borderId="59" xfId="0" applyFont="1" applyBorder="1" applyAlignment="1">
      <alignment horizontal="center" vertical="center" wrapText="1"/>
    </xf>
    <xf numFmtId="0" fontId="71" fillId="17" borderId="60" xfId="0" applyFont="1" applyFill="1" applyBorder="1" applyAlignment="1">
      <alignment horizontal="center" vertical="center" wrapText="1"/>
    </xf>
    <xf numFmtId="0" fontId="71" fillId="17" borderId="61" xfId="0" applyFont="1" applyFill="1" applyBorder="1" applyAlignment="1">
      <alignment horizontal="left" vertical="center" wrapText="1"/>
    </xf>
    <xf numFmtId="0" fontId="71" fillId="17" borderId="61" xfId="0" applyFont="1" applyFill="1" applyBorder="1" applyAlignment="1">
      <alignment horizontal="center" vertical="center" wrapText="1"/>
    </xf>
    <xf numFmtId="0" fontId="7" fillId="17" borderId="61" xfId="0" applyFont="1" applyFill="1" applyBorder="1" applyAlignment="1">
      <alignment horizontal="center" vertical="center" wrapText="1"/>
    </xf>
    <xf numFmtId="0" fontId="71" fillId="17" borderId="62" xfId="0" applyFont="1" applyFill="1" applyBorder="1" applyAlignment="1">
      <alignment horizontal="left" vertical="center" wrapText="1"/>
    </xf>
    <xf numFmtId="0" fontId="71" fillId="17" borderId="59" xfId="0" applyFont="1" applyFill="1" applyBorder="1" applyAlignment="1">
      <alignment horizontal="center" vertical="center" wrapText="1"/>
    </xf>
    <xf numFmtId="1" fontId="73" fillId="17" borderId="55" xfId="0" applyNumberFormat="1" applyFont="1" applyFill="1" applyBorder="1" applyAlignment="1">
      <alignment horizontal="center" vertical="center" shrinkToFit="1"/>
    </xf>
    <xf numFmtId="0" fontId="71" fillId="17" borderId="55" xfId="0" applyFont="1" applyFill="1" applyBorder="1" applyAlignment="1">
      <alignment horizontal="center" vertical="center" wrapText="1"/>
    </xf>
    <xf numFmtId="0" fontId="0" fillId="9" borderId="2" xfId="0" applyFill="1" applyBorder="1" applyAlignment="1">
      <alignment horizontal="center" vertical="center" wrapText="1"/>
    </xf>
    <xf numFmtId="164" fontId="0" fillId="9" borderId="1" xfId="0" applyNumberFormat="1" applyFill="1" applyBorder="1" applyAlignment="1">
      <alignment horizontal="center" vertical="center" wrapText="1"/>
    </xf>
    <xf numFmtId="0" fontId="0" fillId="9" borderId="1" xfId="0" applyFill="1" applyBorder="1" applyAlignment="1">
      <alignment horizontal="center" vertical="center" wrapText="1"/>
    </xf>
    <xf numFmtId="164" fontId="0" fillId="9" borderId="21" xfId="0" applyNumberFormat="1" applyFill="1" applyBorder="1" applyAlignment="1">
      <alignment horizontal="center" vertical="center" wrapText="1"/>
    </xf>
    <xf numFmtId="0" fontId="0" fillId="9" borderId="27" xfId="0" applyFill="1" applyBorder="1" applyAlignment="1">
      <alignment horizontal="center" vertical="center" wrapText="1"/>
    </xf>
    <xf numFmtId="164" fontId="0" fillId="9" borderId="25" xfId="0" applyNumberFormat="1" applyFill="1" applyBorder="1" applyAlignment="1">
      <alignment horizontal="center" vertical="center" wrapText="1"/>
    </xf>
    <xf numFmtId="0" fontId="0" fillId="9" borderId="25" xfId="0" applyFill="1" applyBorder="1" applyAlignment="1">
      <alignment horizontal="center" vertical="center" wrapText="1"/>
    </xf>
    <xf numFmtId="164" fontId="0" fillId="9" borderId="28" xfId="0" applyNumberFormat="1" applyFill="1" applyBorder="1" applyAlignment="1">
      <alignment horizontal="center" vertical="center" wrapText="1"/>
    </xf>
    <xf numFmtId="0" fontId="0" fillId="9" borderId="1" xfId="0" applyFill="1" applyBorder="1" applyAlignment="1">
      <alignment horizontal="center" vertical="center"/>
    </xf>
    <xf numFmtId="0" fontId="0" fillId="9" borderId="25" xfId="0" applyFill="1" applyBorder="1" applyAlignment="1">
      <alignment horizontal="center" vertical="center"/>
    </xf>
    <xf numFmtId="2" fontId="3" fillId="9" borderId="18" xfId="0" applyNumberFormat="1" applyFont="1" applyFill="1" applyBorder="1" applyAlignment="1" applyProtection="1">
      <alignment horizontal="center" vertical="center"/>
      <protection hidden="1"/>
    </xf>
    <xf numFmtId="164" fontId="3" fillId="9" borderId="19" xfId="0" applyNumberFormat="1" applyFont="1" applyFill="1" applyBorder="1" applyAlignment="1" applyProtection="1">
      <alignment horizontal="center" vertical="center"/>
      <protection hidden="1"/>
    </xf>
    <xf numFmtId="0" fontId="3" fillId="9" borderId="19" xfId="0" applyFont="1" applyFill="1" applyBorder="1" applyAlignment="1" applyProtection="1">
      <alignment horizontal="center" vertical="center"/>
      <protection hidden="1"/>
    </xf>
    <xf numFmtId="1" fontId="3" fillId="9" borderId="1" xfId="0" applyNumberFormat="1" applyFont="1" applyFill="1" applyBorder="1" applyAlignment="1" applyProtection="1">
      <alignment horizontal="center" vertical="center"/>
      <protection locked="0"/>
    </xf>
    <xf numFmtId="2" fontId="0" fillId="9" borderId="2" xfId="0" applyNumberFormat="1" applyFill="1" applyBorder="1" applyAlignment="1">
      <alignment horizontal="center" vertical="center" wrapText="1"/>
    </xf>
    <xf numFmtId="2" fontId="0" fillId="2" borderId="2" xfId="0" applyNumberFormat="1" applyFill="1" applyBorder="1" applyAlignment="1">
      <alignment horizontal="center" vertical="center" wrapText="1"/>
    </xf>
    <xf numFmtId="164" fontId="0" fillId="2"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0" fillId="2" borderId="21" xfId="0" applyNumberFormat="1" applyFill="1" applyBorder="1" applyAlignment="1">
      <alignment horizontal="center" vertical="center" wrapText="1"/>
    </xf>
    <xf numFmtId="2" fontId="0" fillId="2" borderId="27" xfId="0" applyNumberFormat="1" applyFill="1" applyBorder="1" applyAlignment="1">
      <alignment horizontal="center" vertical="center" wrapText="1"/>
    </xf>
    <xf numFmtId="164" fontId="0" fillId="2" borderId="25" xfId="0" applyNumberFormat="1" applyFill="1" applyBorder="1" applyAlignment="1">
      <alignment horizontal="center" vertical="center" wrapText="1"/>
    </xf>
    <xf numFmtId="0" fontId="0" fillId="2" borderId="25" xfId="0" applyFill="1" applyBorder="1" applyAlignment="1">
      <alignment horizontal="center" vertical="center"/>
    </xf>
    <xf numFmtId="164" fontId="0" fillId="2" borderId="28" xfId="0" applyNumberFormat="1" applyFill="1" applyBorder="1" applyAlignment="1">
      <alignment horizontal="center" vertical="center" wrapText="1"/>
    </xf>
    <xf numFmtId="164" fontId="0" fillId="9" borderId="19" xfId="0" applyNumberFormat="1" applyFill="1" applyBorder="1" applyAlignment="1" applyProtection="1">
      <alignment horizontal="center" vertical="center"/>
      <protection hidden="1"/>
    </xf>
    <xf numFmtId="0" fontId="0" fillId="9" borderId="19" xfId="0" applyFill="1" applyBorder="1" applyAlignment="1">
      <alignment horizontal="center" vertical="center"/>
    </xf>
    <xf numFmtId="164" fontId="0" fillId="9" borderId="20" xfId="0" applyNumberFormat="1" applyFill="1" applyBorder="1" applyAlignment="1" applyProtection="1">
      <alignment horizontal="center" vertical="center"/>
      <protection hidden="1"/>
    </xf>
    <xf numFmtId="2" fontId="0" fillId="9" borderId="2" xfId="0" applyNumberFormat="1" applyFill="1" applyBorder="1" applyAlignment="1" applyProtection="1">
      <alignment horizontal="center" vertical="center"/>
      <protection hidden="1"/>
    </xf>
    <xf numFmtId="164" fontId="0" fillId="9" borderId="1" xfId="0" applyNumberFormat="1" applyFill="1" applyBorder="1" applyAlignment="1" applyProtection="1">
      <alignment horizontal="center" vertical="center"/>
      <protection hidden="1"/>
    </xf>
    <xf numFmtId="164" fontId="0" fillId="9" borderId="21" xfId="0" applyNumberForma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2" fontId="0" fillId="9" borderId="27" xfId="0" applyNumberFormat="1" applyFill="1" applyBorder="1" applyAlignment="1" applyProtection="1">
      <alignment horizontal="center" vertical="center"/>
      <protection hidden="1"/>
    </xf>
    <xf numFmtId="164" fontId="0" fillId="9" borderId="25" xfId="0" applyNumberFormat="1" applyFill="1" applyBorder="1" applyAlignment="1" applyProtection="1">
      <alignment horizontal="center" vertical="center"/>
      <protection hidden="1"/>
    </xf>
    <xf numFmtId="164" fontId="0" fillId="9" borderId="28" xfId="0" applyNumberFormat="1" applyFill="1" applyBorder="1" applyAlignment="1" applyProtection="1">
      <alignment horizontal="center" vertical="center"/>
      <protection hidden="1"/>
    </xf>
    <xf numFmtId="49" fontId="3" fillId="9" borderId="2" xfId="0" applyNumberFormat="1" applyFont="1" applyFill="1" applyBorder="1" applyAlignment="1" applyProtection="1">
      <alignment horizontal="center" vertical="center"/>
      <protection hidden="1"/>
    </xf>
    <xf numFmtId="2" fontId="3" fillId="9" borderId="1" xfId="0" applyNumberFormat="1" applyFont="1" applyFill="1" applyBorder="1" applyAlignment="1" applyProtection="1">
      <alignment horizontal="center" vertical="center"/>
      <protection hidden="1"/>
    </xf>
    <xf numFmtId="164" fontId="3" fillId="9" borderId="1" xfId="0" applyNumberFormat="1" applyFont="1" applyFill="1" applyBorder="1" applyAlignment="1" applyProtection="1">
      <alignment horizontal="center" vertical="center"/>
      <protection hidden="1"/>
    </xf>
    <xf numFmtId="0" fontId="3" fillId="9" borderId="1" xfId="0" applyFont="1" applyFill="1" applyBorder="1" applyAlignment="1" applyProtection="1">
      <alignment horizontal="center" vertical="center"/>
      <protection hidden="1"/>
    </xf>
    <xf numFmtId="164" fontId="3" fillId="9" borderId="21" xfId="0" applyNumberFormat="1" applyFont="1" applyFill="1" applyBorder="1" applyAlignment="1" applyProtection="1">
      <alignment horizontal="center" vertical="center"/>
      <protection hidden="1"/>
    </xf>
    <xf numFmtId="0" fontId="46" fillId="9" borderId="1" xfId="0" applyFont="1" applyFill="1" applyBorder="1" applyAlignment="1">
      <alignment horizontal="center"/>
    </xf>
    <xf numFmtId="2" fontId="48" fillId="9" borderId="1" xfId="0" applyNumberFormat="1" applyFont="1" applyFill="1" applyBorder="1" applyAlignment="1">
      <alignment horizontal="center"/>
    </xf>
    <xf numFmtId="0" fontId="48" fillId="9" borderId="1" xfId="0" applyFont="1" applyFill="1" applyBorder="1" applyAlignment="1">
      <alignment horizontal="center"/>
    </xf>
    <xf numFmtId="2" fontId="0" fillId="9" borderId="18" xfId="0" applyNumberForma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hidden="1"/>
    </xf>
    <xf numFmtId="164" fontId="0" fillId="2" borderId="1" xfId="0" applyNumberFormat="1" applyFill="1" applyBorder="1" applyAlignment="1" applyProtection="1">
      <alignment horizontal="center" vertical="center"/>
      <protection hidden="1"/>
    </xf>
    <xf numFmtId="164" fontId="0" fillId="2" borderId="21" xfId="0" applyNumberFormat="1" applyFill="1" applyBorder="1" applyAlignment="1" applyProtection="1">
      <alignment horizontal="center" vertical="center"/>
      <protection hidden="1"/>
    </xf>
    <xf numFmtId="2" fontId="0" fillId="2" borderId="18" xfId="0" applyNumberFormat="1" applyFill="1" applyBorder="1" applyAlignment="1" applyProtection="1">
      <alignment horizontal="center" vertical="center"/>
      <protection hidden="1"/>
    </xf>
    <xf numFmtId="164" fontId="0" fillId="2" borderId="19" xfId="0" applyNumberFormat="1" applyFill="1" applyBorder="1" applyAlignment="1" applyProtection="1">
      <alignment horizontal="center" vertical="center"/>
      <protection hidden="1"/>
    </xf>
    <xf numFmtId="0" fontId="0" fillId="2" borderId="19" xfId="0" applyFill="1" applyBorder="1" applyAlignment="1">
      <alignment horizontal="center" vertical="center"/>
    </xf>
    <xf numFmtId="164" fontId="0" fillId="2" borderId="20" xfId="0" applyNumberFormat="1" applyFill="1" applyBorder="1" applyAlignment="1" applyProtection="1">
      <alignment horizontal="center" vertical="center"/>
      <protection hidden="1"/>
    </xf>
    <xf numFmtId="0" fontId="0" fillId="2" borderId="0" xfId="0" applyFill="1" applyAlignment="1">
      <alignment horizontal="center" vertical="center"/>
    </xf>
    <xf numFmtId="0" fontId="30" fillId="2" borderId="9" xfId="0" applyFont="1" applyFill="1" applyBorder="1" applyAlignment="1" applyProtection="1">
      <alignment horizontal="center" vertical="center"/>
      <protection hidden="1"/>
    </xf>
    <xf numFmtId="0" fontId="0" fillId="2" borderId="0" xfId="0" applyFill="1" applyAlignment="1">
      <alignment vertical="center"/>
    </xf>
    <xf numFmtId="2" fontId="0" fillId="28" borderId="18" xfId="0" applyNumberFormat="1" applyFill="1" applyBorder="1" applyAlignment="1" applyProtection="1">
      <alignment horizontal="center" vertical="center"/>
      <protection hidden="1"/>
    </xf>
    <xf numFmtId="2" fontId="0" fillId="28" borderId="2" xfId="0" applyNumberFormat="1" applyFill="1" applyBorder="1" applyAlignment="1" applyProtection="1">
      <alignment horizontal="center" vertical="center"/>
      <protection hidden="1"/>
    </xf>
    <xf numFmtId="0" fontId="30" fillId="0" borderId="63" xfId="0" applyFont="1" applyBorder="1" applyAlignment="1" applyProtection="1">
      <alignment horizontal="center" vertical="center"/>
      <protection hidden="1"/>
    </xf>
    <xf numFmtId="2" fontId="0" fillId="9" borderId="64" xfId="0" applyNumberFormat="1" applyFill="1" applyBorder="1" applyAlignment="1" applyProtection="1">
      <alignment horizontal="center" vertical="center"/>
      <protection hidden="1"/>
    </xf>
    <xf numFmtId="2" fontId="0" fillId="28" borderId="65" xfId="0" applyNumberFormat="1" applyFill="1" applyBorder="1" applyAlignment="1" applyProtection="1">
      <alignment horizontal="center" vertical="center"/>
      <protection hidden="1"/>
    </xf>
    <xf numFmtId="2" fontId="0" fillId="9" borderId="65" xfId="0" applyNumberFormat="1" applyFill="1" applyBorder="1" applyAlignment="1" applyProtection="1">
      <alignment horizontal="center" vertical="center"/>
      <protection hidden="1"/>
    </xf>
    <xf numFmtId="0" fontId="0" fillId="0" borderId="66" xfId="0" applyBorder="1" applyAlignment="1">
      <alignment horizontal="center" vertical="center"/>
    </xf>
    <xf numFmtId="0" fontId="0" fillId="0" borderId="15" xfId="0" applyBorder="1" applyAlignment="1">
      <alignment horizontal="center"/>
    </xf>
    <xf numFmtId="0" fontId="0" fillId="0" borderId="17" xfId="0" applyBorder="1" applyAlignment="1">
      <alignment horizontal="center"/>
    </xf>
    <xf numFmtId="0" fontId="0" fillId="0" borderId="2"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4" xfId="0" applyBorder="1" applyAlignment="1">
      <alignment horizontal="center"/>
    </xf>
    <xf numFmtId="0" fontId="67" fillId="0" borderId="0" xfId="0" applyFont="1"/>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7" fillId="0" borderId="48" xfId="0" applyFont="1" applyBorder="1" applyAlignment="1" applyProtection="1">
      <alignment horizontal="center" vertical="center"/>
      <protection hidden="1"/>
    </xf>
    <xf numFmtId="2" fontId="59" fillId="0" borderId="67" xfId="0" applyNumberFormat="1" applyFont="1" applyBorder="1" applyAlignment="1" applyProtection="1">
      <alignment horizontal="center" vertical="center"/>
      <protection hidden="1"/>
    </xf>
    <xf numFmtId="0" fontId="49" fillId="0" borderId="48" xfId="0" applyFont="1" applyBorder="1" applyAlignment="1" applyProtection="1">
      <alignment horizontal="center" vertical="center"/>
      <protection hidden="1"/>
    </xf>
    <xf numFmtId="2" fontId="59" fillId="0" borderId="14" xfId="0" applyNumberFormat="1" applyFont="1" applyBorder="1" applyAlignment="1" applyProtection="1">
      <alignment horizontal="center" vertical="center"/>
      <protection locked="0"/>
    </xf>
    <xf numFmtId="2" fontId="0" fillId="29" borderId="18" xfId="0" applyNumberFormat="1" applyFill="1" applyBorder="1" applyAlignment="1" applyProtection="1">
      <alignment horizontal="center" vertical="center"/>
      <protection hidden="1"/>
    </xf>
    <xf numFmtId="2" fontId="0" fillId="29" borderId="19" xfId="0" applyNumberFormat="1" applyFill="1" applyBorder="1" applyAlignment="1" applyProtection="1">
      <alignment horizontal="center" vertical="center"/>
      <protection hidden="1"/>
    </xf>
    <xf numFmtId="2" fontId="0" fillId="29" borderId="2" xfId="0" applyNumberFormat="1" applyFill="1" applyBorder="1" applyAlignment="1" applyProtection="1">
      <alignment horizontal="center" vertical="center"/>
      <protection hidden="1"/>
    </xf>
    <xf numFmtId="2" fontId="0" fillId="29" borderId="1" xfId="0" applyNumberFormat="1" applyFill="1" applyBorder="1" applyAlignment="1" applyProtection="1">
      <alignment horizontal="center" vertical="center"/>
      <protection hidden="1"/>
    </xf>
    <xf numFmtId="2" fontId="0" fillId="30" borderId="1" xfId="0" applyNumberFormat="1" applyFill="1" applyBorder="1" applyAlignment="1" applyProtection="1">
      <alignment horizontal="center" vertical="center"/>
      <protection hidden="1"/>
    </xf>
    <xf numFmtId="164" fontId="0" fillId="30" borderId="1" xfId="0" applyNumberFormat="1" applyFill="1" applyBorder="1" applyAlignment="1" applyProtection="1">
      <alignment horizontal="center" vertical="center"/>
      <protection hidden="1"/>
    </xf>
    <xf numFmtId="0" fontId="0" fillId="30" borderId="1" xfId="0" applyFill="1" applyBorder="1" applyAlignment="1" applyProtection="1">
      <alignment horizontal="center" vertical="center"/>
      <protection hidden="1"/>
    </xf>
    <xf numFmtId="164" fontId="0" fillId="30" borderId="20" xfId="0" applyNumberFormat="1" applyFill="1" applyBorder="1" applyAlignment="1" applyProtection="1">
      <alignment horizontal="center" vertical="center"/>
      <protection hidden="1"/>
    </xf>
    <xf numFmtId="2" fontId="0" fillId="30" borderId="2" xfId="0" applyNumberFormat="1" applyFill="1" applyBorder="1" applyAlignment="1" applyProtection="1">
      <alignment horizontal="center" vertical="center"/>
      <protection hidden="1"/>
    </xf>
    <xf numFmtId="2" fontId="3" fillId="30" borderId="1" xfId="0" applyNumberFormat="1" applyFont="1" applyFill="1" applyBorder="1" applyAlignment="1" applyProtection="1">
      <alignment horizontal="center" vertical="center"/>
      <protection hidden="1"/>
    </xf>
    <xf numFmtId="164" fontId="3" fillId="30" borderId="1" xfId="0" applyNumberFormat="1" applyFont="1" applyFill="1" applyBorder="1" applyAlignment="1" applyProtection="1">
      <alignment horizontal="center" vertical="center"/>
      <protection hidden="1"/>
    </xf>
    <xf numFmtId="2" fontId="0" fillId="2" borderId="2" xfId="0" applyNumberFormat="1" applyFill="1" applyBorder="1" applyAlignment="1" applyProtection="1">
      <alignment horizontal="center" vertical="center"/>
      <protection locked="0" hidden="1"/>
    </xf>
    <xf numFmtId="0" fontId="68" fillId="0" borderId="10" xfId="0" applyFont="1" applyBorder="1" applyAlignment="1" applyProtection="1">
      <alignment horizontal="center"/>
      <protection hidden="1"/>
    </xf>
    <xf numFmtId="0" fontId="68" fillId="0" borderId="26" xfId="0" applyFont="1" applyBorder="1" applyAlignment="1" applyProtection="1">
      <alignment horizontal="center"/>
      <protection hidden="1"/>
    </xf>
    <xf numFmtId="0" fontId="68" fillId="0" borderId="11" xfId="0" applyFont="1" applyBorder="1" applyAlignment="1" applyProtection="1">
      <alignment horizontal="center"/>
      <protection hidden="1"/>
    </xf>
    <xf numFmtId="0" fontId="67" fillId="0" borderId="3" xfId="0" applyFont="1" applyBorder="1" applyAlignment="1" applyProtection="1">
      <alignment horizontal="center" vertical="center"/>
      <protection hidden="1"/>
    </xf>
    <xf numFmtId="0" fontId="67" fillId="0" borderId="43"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locked="0"/>
    </xf>
    <xf numFmtId="0" fontId="7" fillId="0" borderId="26"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37"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0" fontId="69" fillId="0" borderId="12" xfId="0" applyFont="1" applyBorder="1" applyAlignment="1" applyProtection="1">
      <alignment horizontal="center"/>
      <protection hidden="1"/>
    </xf>
    <xf numFmtId="0" fontId="69" fillId="0" borderId="13" xfId="0" applyFont="1" applyBorder="1" applyAlignment="1" applyProtection="1">
      <alignment horizontal="center"/>
      <protection hidden="1"/>
    </xf>
    <xf numFmtId="0" fontId="58" fillId="0" borderId="48" xfId="0" applyFont="1" applyBorder="1" applyAlignment="1" applyProtection="1">
      <alignment horizontal="center" vertical="center"/>
      <protection hidden="1"/>
    </xf>
    <xf numFmtId="0" fontId="58" fillId="0" borderId="49" xfId="0" applyFont="1" applyBorder="1" applyAlignment="1" applyProtection="1">
      <alignment horizontal="center" vertical="center"/>
      <protection hidden="1"/>
    </xf>
    <xf numFmtId="0" fontId="58" fillId="0" borderId="51" xfId="0" applyFont="1" applyBorder="1" applyAlignment="1" applyProtection="1">
      <alignment horizontal="center" vertical="center"/>
      <protection hidden="1"/>
    </xf>
    <xf numFmtId="0" fontId="58" fillId="0" borderId="52" xfId="0" applyFont="1" applyBorder="1" applyAlignment="1" applyProtection="1">
      <alignment horizontal="center" vertical="center"/>
      <protection hidden="1"/>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9" fillId="0" borderId="12" xfId="0" applyFont="1" applyBorder="1" applyAlignment="1" applyProtection="1">
      <alignment horizontal="center"/>
      <protection hidden="1"/>
    </xf>
    <xf numFmtId="0" fontId="59" fillId="0" borderId="14" xfId="0" applyFont="1" applyBorder="1" applyAlignment="1" applyProtection="1">
      <alignment horizontal="center"/>
      <protection hidden="1"/>
    </xf>
    <xf numFmtId="0" fontId="0" fillId="0" borderId="2" xfId="0" applyBorder="1" applyAlignment="1" applyProtection="1">
      <alignment horizontal="center" vertical="center"/>
      <protection hidden="1"/>
    </xf>
    <xf numFmtId="0" fontId="0" fillId="0" borderId="1" xfId="0" applyBorder="1" applyAlignment="1" applyProtection="1">
      <alignment horizontal="center" vertical="center"/>
      <protection hidden="1"/>
    </xf>
    <xf numFmtId="0" fontId="11" fillId="3" borderId="4" xfId="0" applyFont="1" applyFill="1" applyBorder="1" applyAlignment="1" applyProtection="1">
      <alignment horizontal="center" vertical="center"/>
      <protection hidden="1"/>
    </xf>
    <xf numFmtId="0" fontId="11" fillId="3" borderId="5" xfId="0" applyFont="1" applyFill="1" applyBorder="1" applyAlignment="1" applyProtection="1">
      <alignment horizontal="center" vertical="center"/>
      <protection hidden="1"/>
    </xf>
    <xf numFmtId="0" fontId="11" fillId="3" borderId="7" xfId="0" applyFont="1" applyFill="1" applyBorder="1" applyAlignment="1" applyProtection="1">
      <alignment horizontal="center" vertical="center"/>
      <protection hidden="1"/>
    </xf>
    <xf numFmtId="0" fontId="11" fillId="3" borderId="8" xfId="0" applyFont="1" applyFill="1" applyBorder="1" applyAlignment="1" applyProtection="1">
      <alignment horizontal="center" vertical="center"/>
      <protection hidden="1"/>
    </xf>
    <xf numFmtId="0" fontId="16" fillId="0" borderId="10" xfId="0" applyFont="1" applyBorder="1" applyAlignment="1" applyProtection="1">
      <alignment horizontal="center" vertical="center"/>
      <protection hidden="1"/>
    </xf>
    <xf numFmtId="0" fontId="16" fillId="0" borderId="11" xfId="0" applyFont="1" applyBorder="1" applyAlignment="1" applyProtection="1">
      <alignment horizontal="center" vertical="center"/>
      <protection hidden="1"/>
    </xf>
    <xf numFmtId="0" fontId="18" fillId="5" borderId="12" xfId="0" applyFont="1" applyFill="1" applyBorder="1" applyAlignment="1" applyProtection="1">
      <alignment horizontal="center" vertical="center"/>
      <protection hidden="1"/>
    </xf>
    <xf numFmtId="0" fontId="18" fillId="5" borderId="13" xfId="0" applyFont="1" applyFill="1" applyBorder="1" applyAlignment="1" applyProtection="1">
      <alignment horizontal="center" vertical="center"/>
      <protection hidden="1"/>
    </xf>
    <xf numFmtId="0" fontId="18" fillId="5" borderId="14" xfId="0" applyFont="1" applyFill="1" applyBorder="1" applyAlignment="1" applyProtection="1">
      <alignment horizontal="center" vertical="center"/>
      <protection hidden="1"/>
    </xf>
    <xf numFmtId="0" fontId="19" fillId="5" borderId="6" xfId="0" applyFont="1" applyFill="1" applyBorder="1" applyAlignment="1" applyProtection="1">
      <alignment horizontal="center" vertical="center"/>
      <protection hidden="1"/>
    </xf>
    <xf numFmtId="0" fontId="19" fillId="5" borderId="7" xfId="0" applyFont="1" applyFill="1" applyBorder="1" applyAlignment="1" applyProtection="1">
      <alignment horizontal="center" vertical="center"/>
      <protection hidden="1"/>
    </xf>
    <xf numFmtId="0" fontId="19" fillId="5" borderId="8" xfId="0" applyFont="1" applyFill="1" applyBorder="1" applyAlignment="1" applyProtection="1">
      <alignment horizontal="center" vertical="center"/>
      <protection hidden="1"/>
    </xf>
    <xf numFmtId="0" fontId="9" fillId="11" borderId="10" xfId="0" applyFont="1" applyFill="1" applyBorder="1" applyAlignment="1" applyProtection="1">
      <alignment horizontal="center" vertical="center"/>
      <protection hidden="1"/>
    </xf>
    <xf numFmtId="0" fontId="9" fillId="11" borderId="26" xfId="0" applyFont="1" applyFill="1" applyBorder="1" applyAlignment="1" applyProtection="1">
      <alignment horizontal="center" vertical="center"/>
      <protection hidden="1"/>
    </xf>
    <xf numFmtId="0" fontId="9" fillId="11" borderId="11" xfId="0" applyFont="1" applyFill="1" applyBorder="1" applyAlignment="1" applyProtection="1">
      <alignment horizontal="center" vertical="center"/>
      <protection hidden="1"/>
    </xf>
    <xf numFmtId="0" fontId="19" fillId="5" borderId="10" xfId="0" applyFont="1" applyFill="1" applyBorder="1" applyAlignment="1" applyProtection="1">
      <alignment horizontal="center" vertical="center"/>
      <protection hidden="1"/>
    </xf>
    <xf numFmtId="0" fontId="19" fillId="5" borderId="26" xfId="0" applyFont="1" applyFill="1" applyBorder="1" applyAlignment="1" applyProtection="1">
      <alignment horizontal="center" vertical="center"/>
      <protection hidden="1"/>
    </xf>
    <xf numFmtId="0" fontId="19" fillId="5" borderId="11" xfId="0" applyFont="1" applyFill="1" applyBorder="1" applyAlignment="1" applyProtection="1">
      <alignment horizontal="center" vertical="center"/>
      <protection hidden="1"/>
    </xf>
    <xf numFmtId="0" fontId="13" fillId="7" borderId="9" xfId="0" applyFont="1" applyFill="1" applyBorder="1" applyAlignment="1" applyProtection="1">
      <alignment horizontal="center" vertical="center"/>
      <protection hidden="1"/>
    </xf>
    <xf numFmtId="0" fontId="0" fillId="0" borderId="18" xfId="0" applyBorder="1" applyAlignment="1" applyProtection="1">
      <alignment horizontal="center" vertical="center"/>
      <protection hidden="1"/>
    </xf>
    <xf numFmtId="0" fontId="0" fillId="0" borderId="19" xfId="0" applyBorder="1" applyAlignment="1" applyProtection="1">
      <alignment horizontal="center" vertical="center"/>
      <protection hidden="1"/>
    </xf>
    <xf numFmtId="0" fontId="12" fillId="11" borderId="0" xfId="0" applyFont="1" applyFill="1" applyAlignment="1" applyProtection="1">
      <alignment horizontal="center" vertical="center"/>
      <protection hidden="1"/>
    </xf>
    <xf numFmtId="0" fontId="12" fillId="11" borderId="37" xfId="0" applyFont="1" applyFill="1" applyBorder="1" applyAlignment="1" applyProtection="1">
      <alignment horizontal="center" vertical="center"/>
      <protection hidden="1"/>
    </xf>
    <xf numFmtId="0" fontId="20" fillId="11" borderId="9" xfId="0" applyFont="1" applyFill="1" applyBorder="1" applyAlignment="1" applyProtection="1">
      <alignment horizontal="center" vertical="center"/>
      <protection hidden="1"/>
    </xf>
    <xf numFmtId="0" fontId="0" fillId="0" borderId="27"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13" fillId="11" borderId="9" xfId="0" applyFont="1" applyFill="1" applyBorder="1" applyAlignment="1" applyProtection="1">
      <alignment horizontal="center" vertical="center"/>
      <protection hidden="1"/>
    </xf>
    <xf numFmtId="0" fontId="9" fillId="11" borderId="9" xfId="0" applyFont="1" applyFill="1" applyBorder="1" applyAlignment="1" applyProtection="1">
      <alignment horizontal="center" vertical="center"/>
      <protection hidden="1"/>
    </xf>
    <xf numFmtId="0" fontId="18" fillId="5" borderId="10" xfId="0" applyFont="1" applyFill="1" applyBorder="1" applyAlignment="1" applyProtection="1">
      <alignment horizontal="center" vertical="center"/>
      <protection hidden="1"/>
    </xf>
    <xf numFmtId="0" fontId="18" fillId="5" borderId="26" xfId="0" applyFont="1" applyFill="1" applyBorder="1" applyAlignment="1" applyProtection="1">
      <alignment horizontal="center" vertical="center"/>
      <protection hidden="1"/>
    </xf>
    <xf numFmtId="0" fontId="18" fillId="5" borderId="11" xfId="0" applyFont="1" applyFill="1" applyBorder="1" applyAlignment="1" applyProtection="1">
      <alignment horizontal="center" vertical="center"/>
      <protection hidden="1"/>
    </xf>
    <xf numFmtId="0" fontId="0" fillId="0" borderId="27" xfId="0" applyBorder="1" applyAlignment="1">
      <alignment horizontal="center" vertical="center"/>
    </xf>
    <xf numFmtId="0" fontId="0" fillId="0" borderId="25" xfId="0" applyBorder="1" applyAlignment="1">
      <alignment horizontal="center" vertical="center"/>
    </xf>
    <xf numFmtId="0" fontId="13" fillId="11" borderId="9" xfId="0" applyFont="1" applyFill="1" applyBorder="1" applyAlignment="1">
      <alignment horizontal="center" vertical="center"/>
    </xf>
    <xf numFmtId="0" fontId="20" fillId="11" borderId="9" xfId="0" applyFont="1" applyFill="1"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11" fillId="3" borderId="4" xfId="0" applyFont="1" applyFill="1" applyBorder="1" applyAlignment="1">
      <alignment horizontal="center" vertical="center"/>
    </xf>
    <xf numFmtId="0" fontId="11" fillId="3" borderId="5"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3" fillId="7" borderId="9" xfId="0" applyFont="1"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27" fillId="13" borderId="63" xfId="0" applyFont="1" applyFill="1" applyBorder="1" applyAlignment="1">
      <alignment horizontal="center" vertical="center"/>
    </xf>
    <xf numFmtId="0" fontId="27" fillId="13" borderId="35" xfId="0" applyFont="1" applyFill="1" applyBorder="1" applyAlignment="1">
      <alignment horizontal="center" vertical="center"/>
    </xf>
    <xf numFmtId="0" fontId="74" fillId="13" borderId="3" xfId="0" applyFont="1" applyFill="1" applyBorder="1" applyAlignment="1">
      <alignment horizontal="center" vertical="center"/>
    </xf>
    <xf numFmtId="0" fontId="74" fillId="13" borderId="5" xfId="0" applyFont="1" applyFill="1" applyBorder="1" applyAlignment="1">
      <alignment horizontal="center" vertical="center"/>
    </xf>
    <xf numFmtId="0" fontId="74" fillId="13" borderId="43" xfId="0" applyFont="1" applyFill="1" applyBorder="1" applyAlignment="1">
      <alignment horizontal="center" vertical="center"/>
    </xf>
    <xf numFmtId="0" fontId="74" fillId="13" borderId="37" xfId="0" applyFont="1" applyFill="1" applyBorder="1" applyAlignment="1">
      <alignment horizontal="center" vertical="center"/>
    </xf>
    <xf numFmtId="0" fontId="27" fillId="13" borderId="3" xfId="0" applyFont="1" applyFill="1" applyBorder="1" applyAlignment="1">
      <alignment horizontal="center" vertical="center"/>
    </xf>
    <xf numFmtId="0" fontId="27" fillId="13" borderId="5" xfId="0" applyFont="1" applyFill="1" applyBorder="1" applyAlignment="1">
      <alignment horizontal="center" vertical="center"/>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xf>
    <xf numFmtId="0" fontId="50" fillId="0" borderId="15" xfId="0" applyFont="1" applyBorder="1" applyAlignment="1">
      <alignment horizontal="center" vertical="center"/>
    </xf>
    <xf numFmtId="0" fontId="50" fillId="0" borderId="16" xfId="0" applyFont="1" applyBorder="1" applyAlignment="1">
      <alignment horizontal="center" vertical="center"/>
    </xf>
    <xf numFmtId="0" fontId="50" fillId="0" borderId="17" xfId="0" applyFont="1" applyBorder="1" applyAlignment="1">
      <alignment horizontal="center" vertical="center"/>
    </xf>
    <xf numFmtId="0" fontId="49" fillId="0" borderId="54" xfId="0" applyFont="1" applyBorder="1" applyAlignment="1">
      <alignment horizontal="center" vertical="center"/>
    </xf>
    <xf numFmtId="0" fontId="71" fillId="26" borderId="56" xfId="0" applyFont="1" applyFill="1" applyBorder="1" applyAlignment="1">
      <alignment horizontal="center" vertical="center" wrapText="1"/>
    </xf>
    <xf numFmtId="0" fontId="71" fillId="26" borderId="57" xfId="0" applyFont="1" applyFill="1" applyBorder="1" applyAlignment="1">
      <alignment horizontal="center" vertical="center" wrapText="1"/>
    </xf>
    <xf numFmtId="0" fontId="71" fillId="26" borderId="58" xfId="0" applyFont="1" applyFill="1" applyBorder="1" applyAlignment="1">
      <alignment horizontal="center" vertical="center" wrapText="1"/>
    </xf>
    <xf numFmtId="0" fontId="50" fillId="0" borderId="22" xfId="0" applyFont="1" applyBorder="1" applyAlignment="1">
      <alignment horizontal="center" vertical="center"/>
    </xf>
    <xf numFmtId="0" fontId="50" fillId="0" borderId="23" xfId="0" applyFont="1" applyBorder="1" applyAlignment="1">
      <alignment horizontal="center" vertical="center"/>
    </xf>
    <xf numFmtId="0" fontId="50" fillId="0" borderId="24" xfId="0" applyFont="1" applyBorder="1" applyAlignment="1">
      <alignment horizontal="center" vertical="center"/>
    </xf>
    <xf numFmtId="0" fontId="38" fillId="0" borderId="32" xfId="0" applyFont="1" applyBorder="1" applyAlignment="1">
      <alignment horizontal="center"/>
    </xf>
    <xf numFmtId="0" fontId="39" fillId="0" borderId="33" xfId="0" applyFont="1" applyBorder="1" applyAlignment="1">
      <alignment horizontal="center"/>
    </xf>
    <xf numFmtId="0" fontId="39" fillId="0" borderId="39" xfId="0" applyFont="1" applyBorder="1" applyAlignment="1">
      <alignment horizontal="center"/>
    </xf>
    <xf numFmtId="0" fontId="39" fillId="0" borderId="34" xfId="0" applyFont="1" applyBorder="1" applyAlignment="1">
      <alignment horizontal="center"/>
    </xf>
    <xf numFmtId="0" fontId="50" fillId="0" borderId="2" xfId="0" applyFont="1" applyBorder="1" applyAlignment="1">
      <alignment horizontal="center" vertical="center"/>
    </xf>
    <xf numFmtId="0" fontId="50" fillId="0" borderId="1" xfId="0" applyFont="1" applyBorder="1" applyAlignment="1">
      <alignment horizontal="center" vertical="center"/>
    </xf>
    <xf numFmtId="0" fontId="50" fillId="0" borderId="21" xfId="0" applyFont="1" applyBorder="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center" vertical="center"/>
    </xf>
    <xf numFmtId="0" fontId="7" fillId="17" borderId="1" xfId="0" applyFont="1" applyFill="1" applyBorder="1" applyAlignment="1">
      <alignment horizontal="center" vertical="center"/>
    </xf>
    <xf numFmtId="0" fontId="59" fillId="0" borderId="10" xfId="0" applyFont="1" applyBorder="1" applyAlignment="1">
      <alignment horizontal="center"/>
    </xf>
    <xf numFmtId="0" fontId="59" fillId="0" borderId="11" xfId="0" applyFont="1" applyBorder="1" applyAlignment="1">
      <alignment horizontal="center"/>
    </xf>
    <xf numFmtId="0" fontId="59" fillId="0" borderId="10" xfId="0" applyFont="1" applyBorder="1" applyAlignment="1">
      <alignment horizontal="center" vertical="center"/>
    </xf>
    <xf numFmtId="0" fontId="59" fillId="0" borderId="26" xfId="0" applyFont="1" applyBorder="1" applyAlignment="1">
      <alignment horizontal="center" vertical="center"/>
    </xf>
    <xf numFmtId="0" fontId="59" fillId="0" borderId="11" xfId="0" applyFont="1" applyBorder="1" applyAlignment="1">
      <alignment horizontal="center" vertical="center"/>
    </xf>
    <xf numFmtId="0" fontId="7" fillId="0" borderId="12" xfId="0" applyFont="1" applyBorder="1" applyAlignment="1">
      <alignment horizontal="center"/>
    </xf>
    <xf numFmtId="0" fontId="7" fillId="0" borderId="13" xfId="0" applyFont="1" applyBorder="1" applyAlignment="1">
      <alignment horizontal="center"/>
    </xf>
    <xf numFmtId="0" fontId="7" fillId="0" borderId="14" xfId="0" applyFont="1" applyBorder="1" applyAlignment="1">
      <alignment horizontal="center"/>
    </xf>
    <xf numFmtId="0" fontId="2" fillId="10" borderId="9" xfId="0" applyFont="1" applyFill="1" applyBorder="1" applyAlignment="1">
      <alignment horizontal="center" vertical="center"/>
    </xf>
    <xf numFmtId="0" fontId="60" fillId="21" borderId="3" xfId="0" applyFont="1" applyFill="1" applyBorder="1" applyAlignment="1" applyProtection="1">
      <alignment horizontal="center" vertical="center"/>
      <protection hidden="1"/>
    </xf>
    <xf numFmtId="0" fontId="60" fillId="21" borderId="4" xfId="0" applyFont="1" applyFill="1" applyBorder="1" applyAlignment="1" applyProtection="1">
      <alignment horizontal="center" vertical="center"/>
      <protection hidden="1"/>
    </xf>
    <xf numFmtId="0" fontId="60" fillId="21" borderId="5" xfId="0" applyFont="1" applyFill="1" applyBorder="1" applyAlignment="1" applyProtection="1">
      <alignment horizontal="center" vertical="center"/>
      <protection hidden="1"/>
    </xf>
    <xf numFmtId="0" fontId="60" fillId="21" borderId="6" xfId="0" applyFont="1" applyFill="1" applyBorder="1" applyAlignment="1" applyProtection="1">
      <alignment horizontal="center" vertical="center"/>
      <protection hidden="1"/>
    </xf>
    <xf numFmtId="0" fontId="60" fillId="21" borderId="7" xfId="0" applyFont="1" applyFill="1" applyBorder="1" applyAlignment="1" applyProtection="1">
      <alignment horizontal="center" vertical="center"/>
      <protection hidden="1"/>
    </xf>
    <xf numFmtId="0" fontId="60" fillId="21" borderId="8" xfId="0" applyFont="1" applyFill="1" applyBorder="1" applyAlignment="1" applyProtection="1">
      <alignment horizontal="center" vertical="center"/>
      <protection hidden="1"/>
    </xf>
    <xf numFmtId="0" fontId="63" fillId="21" borderId="9" xfId="0" applyFont="1" applyFill="1" applyBorder="1" applyAlignment="1">
      <alignment horizontal="center" vertical="center"/>
    </xf>
    <xf numFmtId="0" fontId="28" fillId="22" borderId="3" xfId="0" applyFont="1" applyFill="1" applyBorder="1" applyAlignment="1" applyProtection="1">
      <alignment horizontal="center" vertical="center"/>
      <protection hidden="1"/>
    </xf>
    <xf numFmtId="0" fontId="28" fillId="22" borderId="4" xfId="0" applyFont="1" applyFill="1" applyBorder="1" applyAlignment="1" applyProtection="1">
      <alignment horizontal="center" vertical="center"/>
      <protection hidden="1"/>
    </xf>
    <xf numFmtId="0" fontId="28" fillId="22" borderId="5" xfId="0" applyFont="1" applyFill="1" applyBorder="1" applyAlignment="1" applyProtection="1">
      <alignment horizontal="center" vertical="center"/>
      <protection hidden="1"/>
    </xf>
    <xf numFmtId="0" fontId="28" fillId="22" borderId="6" xfId="0" applyFont="1" applyFill="1" applyBorder="1" applyAlignment="1" applyProtection="1">
      <alignment horizontal="center" vertical="center"/>
      <protection hidden="1"/>
    </xf>
    <xf numFmtId="0" fontId="28" fillId="22" borderId="7" xfId="0" applyFont="1" applyFill="1" applyBorder="1" applyAlignment="1" applyProtection="1">
      <alignment horizontal="center" vertical="center"/>
      <protection hidden="1"/>
    </xf>
    <xf numFmtId="0" fontId="28" fillId="22" borderId="8" xfId="0" applyFont="1" applyFill="1" applyBorder="1" applyAlignment="1" applyProtection="1">
      <alignment horizontal="center" vertical="center"/>
      <protection hidden="1"/>
    </xf>
    <xf numFmtId="0" fontId="2" fillId="22" borderId="9" xfId="0" applyFont="1" applyFill="1" applyBorder="1" applyAlignment="1">
      <alignment horizontal="center" vertical="center"/>
    </xf>
    <xf numFmtId="0" fontId="64" fillId="10" borderId="3" xfId="0" applyFont="1" applyFill="1" applyBorder="1" applyAlignment="1" applyProtection="1">
      <alignment horizontal="center" vertical="center"/>
      <protection hidden="1"/>
    </xf>
    <xf numFmtId="0" fontId="64" fillId="10" borderId="4" xfId="0" applyFont="1" applyFill="1" applyBorder="1" applyAlignment="1" applyProtection="1">
      <alignment horizontal="center" vertical="center"/>
      <protection hidden="1"/>
    </xf>
    <xf numFmtId="0" fontId="64" fillId="10" borderId="5" xfId="0" applyFont="1" applyFill="1" applyBorder="1" applyAlignment="1" applyProtection="1">
      <alignment horizontal="center" vertical="center"/>
      <protection hidden="1"/>
    </xf>
    <xf numFmtId="0" fontId="64" fillId="10" borderId="6" xfId="0" applyFont="1" applyFill="1" applyBorder="1" applyAlignment="1" applyProtection="1">
      <alignment horizontal="center" vertical="center"/>
      <protection hidden="1"/>
    </xf>
    <xf numFmtId="0" fontId="64" fillId="10" borderId="7" xfId="0" applyFont="1" applyFill="1" applyBorder="1" applyAlignment="1" applyProtection="1">
      <alignment horizontal="center" vertical="center"/>
      <protection hidden="1"/>
    </xf>
    <xf numFmtId="0" fontId="64" fillId="10" borderId="8" xfId="0" applyFont="1" applyFill="1" applyBorder="1" applyAlignment="1" applyProtection="1">
      <alignment horizontal="center" vertical="center"/>
      <protection hidden="1"/>
    </xf>
    <xf numFmtId="0" fontId="28" fillId="14" borderId="15" xfId="0" applyFont="1" applyFill="1" applyBorder="1" applyAlignment="1" applyProtection="1">
      <alignment horizontal="center" vertical="center"/>
      <protection hidden="1"/>
    </xf>
    <xf numFmtId="0" fontId="28" fillId="14" borderId="16" xfId="0" applyFont="1" applyFill="1" applyBorder="1" applyAlignment="1" applyProtection="1">
      <alignment horizontal="center" vertical="center"/>
      <protection hidden="1"/>
    </xf>
    <xf numFmtId="0" fontId="28" fillId="14" borderId="17" xfId="0" applyFont="1" applyFill="1" applyBorder="1" applyAlignment="1" applyProtection="1">
      <alignment horizontal="center" vertical="center"/>
      <protection hidden="1"/>
    </xf>
    <xf numFmtId="0" fontId="28" fillId="14" borderId="22" xfId="0" applyFont="1" applyFill="1" applyBorder="1" applyAlignment="1" applyProtection="1">
      <alignment horizontal="center" vertical="center"/>
      <protection hidden="1"/>
    </xf>
    <xf numFmtId="0" fontId="28" fillId="14" borderId="23" xfId="0" applyFont="1" applyFill="1" applyBorder="1" applyAlignment="1" applyProtection="1">
      <alignment horizontal="center" vertical="center"/>
      <protection hidden="1"/>
    </xf>
    <xf numFmtId="0" fontId="28" fillId="14" borderId="24" xfId="0" applyFont="1" applyFill="1" applyBorder="1" applyAlignment="1" applyProtection="1">
      <alignment horizontal="center" vertical="center"/>
      <protection hidden="1"/>
    </xf>
    <xf numFmtId="0" fontId="2" fillId="0" borderId="9" xfId="0" applyFont="1" applyBorder="1" applyAlignment="1">
      <alignment horizontal="center" vertical="center"/>
    </xf>
    <xf numFmtId="9" fontId="65" fillId="2" borderId="0" xfId="0" applyNumberFormat="1" applyFont="1" applyFill="1" applyAlignment="1">
      <alignment horizontal="center" vertical="center"/>
    </xf>
    <xf numFmtId="0" fontId="65" fillId="2" borderId="0" xfId="0" applyFont="1" applyFill="1" applyAlignment="1">
      <alignment horizontal="center" vertical="center"/>
    </xf>
    <xf numFmtId="0" fontId="6" fillId="14" borderId="3" xfId="0" applyFont="1" applyFill="1" applyBorder="1" applyAlignment="1" applyProtection="1">
      <alignment horizontal="center" vertical="center"/>
      <protection hidden="1"/>
    </xf>
    <xf numFmtId="0" fontId="6" fillId="14" borderId="4" xfId="0" applyFont="1" applyFill="1" applyBorder="1" applyAlignment="1" applyProtection="1">
      <alignment horizontal="center" vertical="center"/>
      <protection hidden="1"/>
    </xf>
    <xf numFmtId="0" fontId="6" fillId="14" borderId="5" xfId="0" applyFont="1" applyFill="1" applyBorder="1" applyAlignment="1" applyProtection="1">
      <alignment horizontal="center" vertical="center"/>
      <protection hidden="1"/>
    </xf>
    <xf numFmtId="0" fontId="6" fillId="14" borderId="6" xfId="0" applyFont="1" applyFill="1" applyBorder="1" applyAlignment="1" applyProtection="1">
      <alignment horizontal="center" vertical="center"/>
      <protection hidden="1"/>
    </xf>
    <xf numFmtId="0" fontId="6" fillId="14" borderId="7" xfId="0" applyFont="1" applyFill="1" applyBorder="1" applyAlignment="1" applyProtection="1">
      <alignment horizontal="center" vertical="center"/>
      <protection hidden="1"/>
    </xf>
    <xf numFmtId="0" fontId="6" fillId="14" borderId="8" xfId="0" applyFont="1" applyFill="1" applyBorder="1" applyAlignment="1" applyProtection="1">
      <alignment horizontal="center" vertical="center"/>
      <protection hidden="1"/>
    </xf>
    <xf numFmtId="0" fontId="28" fillId="14" borderId="3" xfId="0" applyFont="1" applyFill="1" applyBorder="1" applyAlignment="1" applyProtection="1">
      <alignment horizontal="center" vertical="center"/>
      <protection hidden="1"/>
    </xf>
    <xf numFmtId="0" fontId="28" fillId="14" borderId="4" xfId="0" applyFont="1" applyFill="1" applyBorder="1" applyAlignment="1" applyProtection="1">
      <alignment horizontal="center" vertical="center"/>
      <protection hidden="1"/>
    </xf>
    <xf numFmtId="0" fontId="28" fillId="14" borderId="5" xfId="0" applyFont="1" applyFill="1" applyBorder="1" applyAlignment="1" applyProtection="1">
      <alignment horizontal="center" vertical="center"/>
      <protection hidden="1"/>
    </xf>
    <xf numFmtId="0" fontId="28" fillId="14" borderId="6" xfId="0" applyFont="1" applyFill="1" applyBorder="1" applyAlignment="1" applyProtection="1">
      <alignment horizontal="center" vertical="center"/>
      <protection hidden="1"/>
    </xf>
    <xf numFmtId="0" fontId="28" fillId="14" borderId="7" xfId="0" applyFont="1" applyFill="1" applyBorder="1" applyAlignment="1" applyProtection="1">
      <alignment horizontal="center" vertical="center"/>
      <protection hidden="1"/>
    </xf>
    <xf numFmtId="0" fontId="28" fillId="14" borderId="8" xfId="0" applyFont="1" applyFill="1" applyBorder="1" applyAlignment="1" applyProtection="1">
      <alignment horizontal="center" vertical="center"/>
      <protection hidden="1"/>
    </xf>
    <xf numFmtId="0" fontId="2" fillId="0" borderId="10" xfId="0" applyFont="1" applyBorder="1" applyAlignment="1">
      <alignment horizontal="center" vertical="center"/>
    </xf>
    <xf numFmtId="0" fontId="2" fillId="0" borderId="31" xfId="0" applyFont="1" applyBorder="1" applyAlignment="1">
      <alignment horizontal="center" vertical="center"/>
    </xf>
    <xf numFmtId="0" fontId="12" fillId="14" borderId="3" xfId="0" applyFont="1" applyFill="1" applyBorder="1" applyAlignment="1" applyProtection="1">
      <alignment horizontal="center" vertical="center"/>
      <protection hidden="1"/>
    </xf>
    <xf numFmtId="0" fontId="12" fillId="14" borderId="4" xfId="0" applyFont="1" applyFill="1" applyBorder="1" applyAlignment="1" applyProtection="1">
      <alignment horizontal="center" vertical="center"/>
      <protection hidden="1"/>
    </xf>
    <xf numFmtId="0" fontId="12" fillId="14" borderId="5" xfId="0" applyFont="1" applyFill="1" applyBorder="1" applyAlignment="1" applyProtection="1">
      <alignment horizontal="center" vertical="center"/>
      <protection hidden="1"/>
    </xf>
    <xf numFmtId="0" fontId="12" fillId="14" borderId="6" xfId="0" applyFont="1" applyFill="1" applyBorder="1" applyAlignment="1" applyProtection="1">
      <alignment horizontal="center" vertical="center"/>
      <protection hidden="1"/>
    </xf>
    <xf numFmtId="0" fontId="12" fillId="14" borderId="7" xfId="0" applyFont="1" applyFill="1" applyBorder="1" applyAlignment="1" applyProtection="1">
      <alignment horizontal="center" vertical="center"/>
      <protection hidden="1"/>
    </xf>
    <xf numFmtId="0" fontId="12" fillId="14" borderId="8" xfId="0" applyFont="1" applyFill="1" applyBorder="1" applyAlignment="1" applyProtection="1">
      <alignment horizontal="center" vertical="center"/>
      <protection hidden="1"/>
    </xf>
    <xf numFmtId="0" fontId="35" fillId="0" borderId="9" xfId="0" applyFont="1" applyBorder="1" applyAlignment="1" applyProtection="1">
      <alignment horizontal="center" vertical="center"/>
      <protection hidden="1"/>
    </xf>
    <xf numFmtId="0" fontId="27" fillId="2" borderId="3" xfId="0" applyFont="1" applyFill="1" applyBorder="1" applyAlignment="1">
      <alignment horizontal="center" vertical="center"/>
    </xf>
    <xf numFmtId="0" fontId="27" fillId="2" borderId="6" xfId="0" applyFont="1" applyFill="1" applyBorder="1" applyAlignment="1">
      <alignment horizontal="center" vertical="center"/>
    </xf>
    <xf numFmtId="0" fontId="28" fillId="2" borderId="15" xfId="0" applyFont="1" applyFill="1" applyBorder="1" applyAlignment="1" applyProtection="1">
      <alignment horizontal="center" vertical="center"/>
      <protection hidden="1"/>
    </xf>
    <xf numFmtId="0" fontId="28" fillId="2" borderId="16" xfId="0" applyFont="1" applyFill="1" applyBorder="1" applyAlignment="1" applyProtection="1">
      <alignment horizontal="center" vertical="center"/>
      <protection hidden="1"/>
    </xf>
    <xf numFmtId="0" fontId="28" fillId="2" borderId="17" xfId="0" applyFont="1" applyFill="1" applyBorder="1" applyAlignment="1" applyProtection="1">
      <alignment horizontal="center" vertical="center"/>
      <protection hidden="1"/>
    </xf>
    <xf numFmtId="0" fontId="28" fillId="2" borderId="22" xfId="0" applyFont="1" applyFill="1" applyBorder="1" applyAlignment="1" applyProtection="1">
      <alignment horizontal="center" vertical="center"/>
      <protection hidden="1"/>
    </xf>
    <xf numFmtId="0" fontId="28" fillId="2" borderId="23" xfId="0" applyFont="1" applyFill="1" applyBorder="1" applyAlignment="1" applyProtection="1">
      <alignment horizontal="center" vertical="center"/>
      <protection hidden="1"/>
    </xf>
    <xf numFmtId="0" fontId="28" fillId="2" borderId="24" xfId="0" applyFont="1" applyFill="1" applyBorder="1" applyAlignment="1" applyProtection="1">
      <alignment horizontal="center" vertical="center"/>
      <protection hidden="1"/>
    </xf>
    <xf numFmtId="0" fontId="0" fillId="0" borderId="6" xfId="0" applyBorder="1" applyAlignment="1"/>
  </cellXfs>
  <cellStyles count="5">
    <cellStyle name="CHETAN" xfId="2" xr:uid="{00000000-0005-0000-0000-000000000000}"/>
    <cellStyle name="Good" xfId="4" builtinId="26"/>
    <cellStyle name="Normal" xfId="0" builtinId="0"/>
    <cellStyle name="Normal 2" xfId="1" xr:uid="{00000000-0005-0000-0000-000003000000}"/>
    <cellStyle name="Normal 3" xfId="3" xr:uid="{00000000-0005-0000-0000-000004000000}"/>
  </cellStyles>
  <dxfs count="16">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00B050"/>
        </patternFill>
      </fill>
    </dxf>
    <dxf>
      <fill>
        <patternFill>
          <bgColor rgb="FFFFB9B9"/>
        </patternFill>
      </fill>
    </dxf>
    <dxf>
      <fill>
        <patternFill>
          <bgColor rgb="FFFF0000"/>
        </patternFill>
      </fill>
    </dxf>
    <dxf>
      <fill>
        <patternFill>
          <bgColor rgb="FFFF0000"/>
        </patternFill>
      </fill>
    </dxf>
  </dxfs>
  <tableStyles count="0" defaultTableStyle="TableStyleMedium9" defaultPivotStyle="PivotStyleLight16"/>
  <colors>
    <mruColors>
      <color rgb="FF04BC1A"/>
      <color rgb="FFFE0000"/>
      <color rgb="FFFFB9B9"/>
      <color rgb="FFFFB7B7"/>
      <color rgb="FFFF0505"/>
      <color rgb="FFFFC5C5"/>
      <color rgb="FFFFD5D5"/>
      <color rgb="FF18DE4C"/>
      <color rgb="FFFF8585"/>
      <color rgb="FFE1FF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594217</xdr:colOff>
      <xdr:row>10</xdr:row>
      <xdr:rowOff>36634</xdr:rowOff>
    </xdr:from>
    <xdr:to>
      <xdr:col>3</xdr:col>
      <xdr:colOff>245093</xdr:colOff>
      <xdr:row>10</xdr:row>
      <xdr:rowOff>246183</xdr:rowOff>
    </xdr:to>
    <xdr:pic>
      <xdr:nvPicPr>
        <xdr:cNvPr id="1028" name="Picture 4">
          <a:extLst>
            <a:ext uri="{FF2B5EF4-FFF2-40B4-BE49-F238E27FC236}">
              <a16:creationId xmlns:a16="http://schemas.microsoft.com/office/drawing/2014/main" id="{00000000-0008-0000-0700-00000404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986332" y="2344615"/>
          <a:ext cx="259011" cy="209549"/>
        </a:xfrm>
        <a:prstGeom prst="rect">
          <a:avLst/>
        </a:prstGeom>
        <a:noFill/>
      </xdr:spPr>
    </xdr:pic>
    <xdr:clientData/>
  </xdr:twoCellAnchor>
  <xdr:twoCellAnchor editAs="oneCell">
    <xdr:from>
      <xdr:col>3</xdr:col>
      <xdr:colOff>2</xdr:colOff>
      <xdr:row>11</xdr:row>
      <xdr:rowOff>58615</xdr:rowOff>
    </xdr:from>
    <xdr:to>
      <xdr:col>4</xdr:col>
      <xdr:colOff>24053</xdr:colOff>
      <xdr:row>11</xdr:row>
      <xdr:rowOff>256442</xdr:rowOff>
    </xdr:to>
    <xdr:pic>
      <xdr:nvPicPr>
        <xdr:cNvPr id="1032" name="Picture 8">
          <a:extLst>
            <a:ext uri="{FF2B5EF4-FFF2-40B4-BE49-F238E27FC236}">
              <a16:creationId xmlns:a16="http://schemas.microsoft.com/office/drawing/2014/main" id="{00000000-0008-0000-0700-00000804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2000252" y="2630365"/>
          <a:ext cx="273166" cy="197827"/>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57150</xdr:colOff>
      <xdr:row>24</xdr:row>
      <xdr:rowOff>19050</xdr:rowOff>
    </xdr:from>
    <xdr:to>
      <xdr:col>6</xdr:col>
      <xdr:colOff>533399</xdr:colOff>
      <xdr:row>28</xdr:row>
      <xdr:rowOff>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3667125" y="4095750"/>
          <a:ext cx="733424" cy="742950"/>
        </a:xfrm>
        <a:prstGeom prst="rect">
          <a:avLst/>
        </a:prstGeom>
      </xdr:spPr>
    </xdr:pic>
    <xdr:clientData/>
  </xdr:twoCellAnchor>
  <xdr:twoCellAnchor editAs="oneCell">
    <xdr:from>
      <xdr:col>10</xdr:col>
      <xdr:colOff>133350</xdr:colOff>
      <xdr:row>11</xdr:row>
      <xdr:rowOff>180975</xdr:rowOff>
    </xdr:from>
    <xdr:to>
      <xdr:col>11</xdr:col>
      <xdr:colOff>209549</xdr:colOff>
      <xdr:row>15</xdr:row>
      <xdr:rowOff>161925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3167" t="47901" r="23132" b="36491"/>
        <a:stretch/>
      </xdr:blipFill>
      <xdr:spPr>
        <a:xfrm>
          <a:off x="6629400" y="2114550"/>
          <a:ext cx="733424" cy="7429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S42"/>
  <sheetViews>
    <sheetView showGridLines="0" tabSelected="1" workbookViewId="0">
      <selection activeCell="E5" sqref="E5"/>
    </sheetView>
  </sheetViews>
  <sheetFormatPr defaultRowHeight="15"/>
  <cols>
    <col min="1" max="2" width="9.140625" style="219"/>
    <col min="3" max="3" width="10.42578125" style="219" customWidth="1"/>
    <col min="4" max="4" width="12.28515625" style="219" customWidth="1"/>
    <col min="5" max="5" width="10.5703125" style="219" customWidth="1"/>
    <col min="6" max="7" width="9.140625" style="219"/>
    <col min="8" max="8" width="11.28515625" style="219" bestFit="1" customWidth="1"/>
    <col min="9" max="11" width="9.140625" style="219" customWidth="1"/>
    <col min="12" max="12" width="13.7109375" style="219" customWidth="1"/>
    <col min="13" max="13" width="9.42578125" style="276" customWidth="1"/>
    <col min="14" max="14" width="9.140625" style="219" customWidth="1"/>
    <col min="15" max="15" width="9.140625" style="219"/>
    <col min="16" max="19" width="9.140625" style="291"/>
    <col min="20" max="16384" width="9.140625" style="219"/>
  </cols>
  <sheetData>
    <row r="2" spans="3:19" ht="15.75" thickBot="1">
      <c r="M2" s="292"/>
      <c r="P2" s="219"/>
      <c r="Q2" s="219"/>
      <c r="R2" s="219"/>
      <c r="S2" s="219"/>
    </row>
    <row r="3" spans="3:19" ht="21.75" thickBot="1">
      <c r="C3" s="486" t="e">
        <f ca="1">MID(CELL("filename",A2),SEARCH("[",CELL("filename",A2))+1,SEARCH(".",CELL("filename",A2))-1-SEARCH("[",CELL("filename",A2)))</f>
        <v>#VALUE!</v>
      </c>
      <c r="D3" s="487"/>
      <c r="E3" s="487"/>
      <c r="F3" s="487"/>
      <c r="G3" s="487"/>
      <c r="H3" s="488"/>
      <c r="L3" s="291"/>
      <c r="M3" s="221"/>
      <c r="P3" s="219"/>
      <c r="Q3" s="219"/>
      <c r="R3" s="219"/>
      <c r="S3" s="219"/>
    </row>
    <row r="4" spans="3:19" ht="19.5" thickBot="1">
      <c r="C4" s="499" t="s">
        <v>0</v>
      </c>
      <c r="D4" s="500"/>
      <c r="E4" s="360" t="s">
        <v>1</v>
      </c>
      <c r="F4" s="501" t="s">
        <v>2</v>
      </c>
      <c r="G4" s="502"/>
      <c r="H4" s="361">
        <v>1</v>
      </c>
      <c r="J4" s="365" t="s">
        <v>3</v>
      </c>
      <c r="K4" s="366">
        <f>G39/E6</f>
        <v>12.692433671798232</v>
      </c>
      <c r="L4" s="221"/>
      <c r="M4" s="362"/>
      <c r="P4" s="219"/>
      <c r="Q4" s="219"/>
      <c r="R4" s="219"/>
      <c r="S4" s="219"/>
    </row>
    <row r="5" spans="3:19" ht="15.75" customHeight="1" thickBot="1">
      <c r="C5" s="489" t="s">
        <v>4</v>
      </c>
      <c r="D5" s="367" t="s">
        <v>5</v>
      </c>
      <c r="E5" s="473">
        <v>2.84</v>
      </c>
      <c r="F5" s="367" t="s">
        <v>6</v>
      </c>
      <c r="G5" s="368">
        <f>E5*0.75</f>
        <v>2.13</v>
      </c>
      <c r="H5" s="494" t="s">
        <v>7</v>
      </c>
      <c r="J5" s="365" t="s">
        <v>8</v>
      </c>
      <c r="K5" s="366">
        <f>H39/E6</f>
        <v>0.58139534883720934</v>
      </c>
      <c r="L5" s="221"/>
      <c r="M5" s="362"/>
      <c r="P5" s="491" t="s">
        <v>9</v>
      </c>
      <c r="Q5" s="492"/>
      <c r="R5" s="492"/>
      <c r="S5" s="493"/>
    </row>
    <row r="6" spans="3:19" ht="15.75" customHeight="1" thickBot="1">
      <c r="C6" s="490"/>
      <c r="D6" s="470" t="s">
        <v>10</v>
      </c>
      <c r="E6" s="471">
        <f>E5*0.86</f>
        <v>2.4423999999999997</v>
      </c>
      <c r="F6" s="472" t="s">
        <v>11</v>
      </c>
      <c r="G6" s="471">
        <f>E5*0.7</f>
        <v>1.9879999999999998</v>
      </c>
      <c r="H6" s="495"/>
      <c r="J6" s="365"/>
      <c r="K6" s="366"/>
      <c r="L6" s="221"/>
      <c r="M6" s="362"/>
      <c r="P6" s="467"/>
      <c r="Q6" s="468"/>
      <c r="R6" s="468"/>
      <c r="S6" s="469"/>
    </row>
    <row r="7" spans="3:19" ht="15.75" customHeight="1" thickBot="1">
      <c r="C7" s="652"/>
      <c r="D7" s="503" t="s">
        <v>12</v>
      </c>
      <c r="E7" s="504"/>
      <c r="F7" s="505">
        <f>E5*1.45</f>
        <v>4.1179999999999994</v>
      </c>
      <c r="G7" s="506"/>
      <c r="H7" s="496"/>
      <c r="L7" s="221"/>
      <c r="M7" s="363"/>
      <c r="P7" s="298" t="s">
        <v>13</v>
      </c>
      <c r="Q7" s="298" t="s">
        <v>14</v>
      </c>
      <c r="R7" s="298" t="s">
        <v>15</v>
      </c>
      <c r="S7" s="298" t="s">
        <v>16</v>
      </c>
    </row>
    <row r="8" spans="3:19" ht="15.75">
      <c r="C8" s="369" t="s">
        <v>17</v>
      </c>
      <c r="D8" s="370" t="s">
        <v>18</v>
      </c>
      <c r="E8" s="370" t="s">
        <v>19</v>
      </c>
      <c r="F8" s="370" t="s">
        <v>20</v>
      </c>
      <c r="G8" s="370" t="s">
        <v>21</v>
      </c>
      <c r="H8" s="371" t="s">
        <v>22</v>
      </c>
      <c r="L8" s="276"/>
      <c r="M8" s="295"/>
      <c r="P8" s="297"/>
      <c r="Q8" s="297"/>
      <c r="R8" s="297"/>
      <c r="S8" s="297"/>
    </row>
    <row r="9" spans="3:19" ht="15" hidden="1" customHeight="1">
      <c r="C9" s="372"/>
      <c r="D9" s="55">
        <f>IF(C9="RNDTRD",INDEX(DIAMOND!$B$9:$C$102,MATCH(E9,DIAMOND!$C$9:$C$102,0),1),IF(C9="RND",INDEX(DIAMOND!$B$9:$C$102,MATCH(E9,DIAMOND!$C$9:$C$102,0),1),IF(C9="PRI",INDEX(DIAMOND!$M$9:$N$63,MATCH(E9,DIAMOND!$N$9:$N$63,0),1),IF(C9="MRQ",INDEX(DIAMOND!$S$40:$T$58,MATCH(E9,DIAMOND!$T$40:$T$58,0),1),IF(C9="PRS",INDEX(DIAMOND!$S$9:$T$35,MATCH(E9,DIAMOND!$T$9:$T$63,0),1),0)))))</f>
        <v>0</v>
      </c>
      <c r="E9" s="220"/>
      <c r="F9" s="2">
        <f>IF(C9="RNDTRD",VLOOKUP(E9,DIAMOND!$C$9:$D$102,2,0),IF(C9="RND",VLOOKUP(E9,DIAMOND!$C$9:$D$102,2,0),IF(C9="MRQ",VLOOKUP(E9,DIAMOND!$T$40:$U$58,2,0),IF(C9="PRI",VLOOKUP(E9,DIAMOND!$N$9:$O$63,2,0),IF(C9="PRITRD",VLOOKUP(E9,DIAMOND!$N$9:$O$63,2,0),IF(C9="BUG",VLOOKUP(E9,DIAMOND!$H$9:$I$45,2,0),IF(C9="BUGTRD",VLOOKUP(E9,DIAMOND!$H$9:$I$45,2,0),IF(C9="TAPTRD",VLOOKUP(E9,DIAMOND!$H$9:$I$45,2,0),IF(C9="TAP",VLOOKUP(E9,DIAMOND!$H$9:$I$45,2,0),IF(C9="PRS",VLOOKUP(E9,DIAMOND!$T$9:$U$35,2,0),IF(C9="OVL",VLOOKUP(E9,DIAMOND!$T$64:$U$82,2,0),IF(C9="EMR",VLOOKUP(E9,DIAMOND!$N$69:$O$83,2,0),0))))))))))))</f>
        <v>0</v>
      </c>
      <c r="G9" s="59"/>
      <c r="H9" s="56">
        <f t="shared" ref="H9:H38" si="0">G9*F9</f>
        <v>0</v>
      </c>
      <c r="M9" s="293"/>
      <c r="P9" s="296"/>
      <c r="Q9" s="296"/>
      <c r="R9" s="296"/>
      <c r="S9" s="296"/>
    </row>
    <row r="10" spans="3:19" ht="15" customHeight="1">
      <c r="C10" s="372" t="s">
        <v>23</v>
      </c>
      <c r="D10" s="55" t="str">
        <f>IF(C10="RNDTRD",INDEX(DIAMOND!$B$9:$C$102,MATCH(E10,DIAMOND!$C$9:$C$102,0),1),IF(C10="RND",INDEX(DIAMOND!$B$9:$C$102,MATCH(E10,DIAMOND!$C$9:$C$102,0),1),IF(C10="PRI",INDEX(DIAMOND!$M$9:$N$63,MATCH(E10,DIAMOND!$N$9:$N$63,0),1),IF(C10="MRQ",INDEX(DIAMOND!$S$40:$T$58,MATCH(E10,DIAMOND!$T$40:$T$58,0),1),IF(C10="PRS",INDEX(DIAMOND!$S$9:$T$35,MATCH(E10,DIAMOND!$T$9:$T$63,0),1),0)))))</f>
        <v>+2.5-3.0</v>
      </c>
      <c r="E10" s="485">
        <v>1.3</v>
      </c>
      <c r="F10" s="2">
        <f>IF(C10="RNDTRD",VLOOKUP(E10,DIAMOND!$C$9:$D$102,2,0),IF(C10="RND",VLOOKUP(E10,DIAMOND!$C$9:$D$102,2,0),IF(C10="MRQ",VLOOKUP(E10,DIAMOND!$T$40:$U$58,2,0),IF(C10="PRI",VLOOKUP(E10,DIAMOND!$N$9:$O$63,2,0),IF(C10="PRITRD",VLOOKUP(E10,DIAMOND!$N$9:$O$63,2,0),IF(C10="BUG",VLOOKUP(E10,DIAMOND!$H$9:$I$45,2,0),IF(C10="BUGTRD",VLOOKUP(E10,DIAMOND!$H$9:$I$45,2,0),IF(C10="TAPTRD",VLOOKUP(E10,DIAMOND!$H$9:$I$45,2,0),IF(C10="TAP",VLOOKUP(E10,DIAMOND!$H$9:$I$45,2,0),IF(C10="PRS",VLOOKUP(E10,DIAMOND!$T$9:$U$35,2,0),IF(C10="OVL",VLOOKUP(E10,DIAMOND!$T$64:$U$82,2,0),IF(C10="EMR",VLOOKUP(E10,DIAMOND!$N$69:$O$83,2,0),0))))))))))))</f>
        <v>0.01</v>
      </c>
      <c r="G10" s="59">
        <v>18</v>
      </c>
      <c r="H10" s="56">
        <f t="shared" si="0"/>
        <v>0.18</v>
      </c>
      <c r="M10" s="294"/>
      <c r="P10" s="296"/>
      <c r="Q10" s="296"/>
      <c r="R10" s="296"/>
      <c r="S10" s="296"/>
    </row>
    <row r="11" spans="3:19" ht="15" customHeight="1">
      <c r="C11" s="372" t="s">
        <v>23</v>
      </c>
      <c r="D11" s="55" t="str">
        <f>IF(C11="RNDTRD",INDEX(DIAMOND!$B$9:$C$102,MATCH(E11,DIAMOND!$C$9:$C$102,0),1),IF(C11="RND",INDEX(DIAMOND!$B$9:$C$102,MATCH(E11,DIAMOND!$C$9:$C$102,0),1),IF(C11="PRI",INDEX(DIAMOND!$M$9:$N$63,MATCH(E11,DIAMOND!$N$9:$N$63,0),1),IF(C11="MRQ",INDEX(DIAMOND!$S$40:$T$58,MATCH(E11,DIAMOND!$T$40:$T$58,0),1),IF(C11="PRS",INDEX(DIAMOND!$S$9:$T$35,MATCH(E11,DIAMOND!$T$9:$T$63,0),1),0)))))</f>
        <v>+6.0-6.5</v>
      </c>
      <c r="E11" s="220">
        <v>1.7</v>
      </c>
      <c r="F11" s="2">
        <f>IF(C11="RNDTRD",VLOOKUP(E11,DIAMOND!$C$9:$D$102,2,0),IF(C11="RND",VLOOKUP(E11,DIAMOND!$C$9:$D$102,2,0),IF(C11="MRQ",VLOOKUP(E11,DIAMOND!$T$40:$U$58,2,0),IF(C11="PRI",VLOOKUP(E11,DIAMOND!$N$9:$O$63,2,0),IF(C11="PRITRD",VLOOKUP(E11,DIAMOND!$N$9:$O$63,2,0),IF(C11="BUG",VLOOKUP(E11,DIAMOND!$H$9:$I$45,2,0),IF(C11="BUGTRD",VLOOKUP(E11,DIAMOND!$H$9:$I$45,2,0),IF(C11="TAPTRD",VLOOKUP(E11,DIAMOND!$H$9:$I$45,2,0),IF(C11="TAP",VLOOKUP(E11,DIAMOND!$H$9:$I$45,2,0),IF(C11="PRS",VLOOKUP(E11,DIAMOND!$T$9:$U$35,2,0),IF(C11="OVL",VLOOKUP(E11,DIAMOND!$T$64:$U$82,2,0),IF(C11="EMR",VLOOKUP(E11,DIAMOND!$N$69:$O$83,2,0),0))))))))))))</f>
        <v>0.02</v>
      </c>
      <c r="G11" s="59">
        <v>12</v>
      </c>
      <c r="H11" s="56">
        <f t="shared" si="0"/>
        <v>0.24</v>
      </c>
      <c r="M11" s="293"/>
      <c r="P11" s="296"/>
      <c r="Q11" s="296"/>
      <c r="R11" s="296"/>
      <c r="S11" s="296"/>
    </row>
    <row r="12" spans="3:19" ht="15" customHeight="1" thickBot="1">
      <c r="C12" s="372" t="s">
        <v>24</v>
      </c>
      <c r="D12" s="55">
        <f>IF(C12="RNDTRD",INDEX(DIAMOND!$B$9:$C$102,MATCH(E12,DIAMOND!$C$9:$C$102,0),1),IF(C12="RND",INDEX(DIAMOND!$B$9:$C$102,MATCH(E12,DIAMOND!$C$9:$C$102,0),1),IF(C12="PRI",INDEX(DIAMOND!$M$9:$N$63,MATCH(E12,DIAMOND!$N$9:$N$63,0),1),IF(C12="MRQ",INDEX(DIAMOND!$S$40:$T$58,MATCH(E12,DIAMOND!$T$40:$T$58,0),1),IF(C12="PRS",INDEX(DIAMOND!$S$9:$T$35,MATCH(E12,DIAMOND!$T$9:$T$63,0),1),0)))))</f>
        <v>0</v>
      </c>
      <c r="E12" s="220" t="s">
        <v>25</v>
      </c>
      <c r="F12" s="2">
        <f>IF(C12="RNDTRD",VLOOKUP(E12,DIAMOND!$C$9:$D$102,2,0),IF(C12="RND",VLOOKUP(E12,DIAMOND!$C$9:$D$102,2,0),IF(C12="MRQ",VLOOKUP(E12,DIAMOND!$T$40:$U$58,2,0),IF(C12="PRI",VLOOKUP(E12,DIAMOND!$N$9:$O$63,2,0),IF(C12="PRITRD",VLOOKUP(E12,DIAMOND!$N$9:$O$63,2,0),IF(C12="BUG",VLOOKUP(E12,DIAMOND!$H$9:$I$45,2,0),IF(C12="BUGTRD",VLOOKUP(E12,DIAMOND!$H$9:$I$45,2,0),IF(C12="TAPTRD",VLOOKUP(E12,DIAMOND!$H$9:$I$45,2,0),IF(C12="TAP",VLOOKUP(E12,DIAMOND!$H$9:$I$45,2,0),IF(C12="PRS",VLOOKUP(E12,DIAMOND!$T$9:$U$35,2,0),IF(C12="OVL",VLOOKUP(E12,DIAMOND!$T$64:$U$82,2,0),IF(C12="EMR",VLOOKUP(E12,DIAMOND!$N$69:$O$83,2,0),0))))))))))))</f>
        <v>1</v>
      </c>
      <c r="G12" s="59">
        <v>1</v>
      </c>
      <c r="H12" s="56">
        <f t="shared" si="0"/>
        <v>1</v>
      </c>
      <c r="P12" s="296"/>
      <c r="Q12" s="296"/>
      <c r="R12" s="296"/>
      <c r="S12" s="296"/>
    </row>
    <row r="13" spans="3:19" ht="15" hidden="1" customHeight="1">
      <c r="C13" s="372" t="s">
        <v>23</v>
      </c>
      <c r="D13" s="55" t="e">
        <f>IF(C13="RNDTRD",INDEX(DIAMOND!$B$9:$C$102,MATCH(E13,DIAMOND!$C$9:$C$102,0),1),IF(C13="RND",INDEX(DIAMOND!$B$9:$C$102,MATCH(E13,DIAMOND!$C$9:$C$102,0),1),IF(C13="PRI",INDEX(DIAMOND!$M$9:$N$63,MATCH(E13,DIAMOND!$N$9:$N$63,0),1),IF(C13="MRQ",INDEX(DIAMOND!$S$40:$T$58,MATCH(E13,DIAMOND!$T$40:$T$58,0),1),IF(C13="PRS",INDEX(DIAMOND!$S$9:$T$35,MATCH(E13,DIAMOND!$T$9:$T$63,0),1),0)))))</f>
        <v>#N/A</v>
      </c>
      <c r="E13" s="220"/>
      <c r="F13" s="2" t="e">
        <f>IF(C13="RNDTRD",VLOOKUP(E13,DIAMOND!$C$9:$D$102,2,0),IF(C13="RND",VLOOKUP(E13,DIAMOND!$C$9:$D$102,2,0),IF(C13="MRQ",VLOOKUP(E13,DIAMOND!$T$40:$U$58,2,0),IF(C13="PRI",VLOOKUP(E13,DIAMOND!$N$9:$O$63,2,0),IF(C13="PRITRD",VLOOKUP(E13,DIAMOND!$N$9:$O$63,2,0),IF(C13="BUG",VLOOKUP(E13,DIAMOND!$H$9:$I$45,2,0),IF(C13="BUGTRD",VLOOKUP(E13,DIAMOND!$H$9:$I$45,2,0),IF(C13="TAPTRD",VLOOKUP(E13,DIAMOND!$H$9:$I$45,2,0),IF(C13="TAP",VLOOKUP(E13,DIAMOND!$H$9:$I$45,2,0),IF(C13="PRS",VLOOKUP(E13,DIAMOND!$T$9:$U$35,2,0),IF(C13="OVL",VLOOKUP(E13,DIAMOND!$T$64:$U$82,2,0),IF(C13="EMR",VLOOKUP(E13,DIAMOND!$N$69:$O$83,2,0),0))))))))))))</f>
        <v>#N/A</v>
      </c>
      <c r="G13" s="59"/>
      <c r="H13" s="56" t="e">
        <f t="shared" si="0"/>
        <v>#N/A</v>
      </c>
      <c r="M13" s="293"/>
      <c r="P13" s="296"/>
      <c r="Q13" s="296"/>
      <c r="R13" s="296"/>
      <c r="S13" s="296"/>
    </row>
    <row r="14" spans="3:19" ht="15" hidden="1" customHeight="1">
      <c r="C14" s="372" t="s">
        <v>23</v>
      </c>
      <c r="D14" s="55" t="e">
        <f>IF(C14="RNDTRD",INDEX(DIAMOND!$B$9:$C$102,MATCH(E14,DIAMOND!$C$9:$C$102,0),1),IF(C14="RND",INDEX(DIAMOND!$B$9:$C$102,MATCH(E14,DIAMOND!$C$9:$C$102,0),1),IF(C14="PRI",INDEX(DIAMOND!$M$9:$N$63,MATCH(E14,DIAMOND!$N$9:$N$63,0),1),IF(C14="MRQ",INDEX(DIAMOND!$S$40:$T$58,MATCH(E14,DIAMOND!$T$40:$T$58,0),1),IF(C14="PRS",INDEX(DIAMOND!$S$9:$T$35,MATCH(E14,DIAMOND!$T$9:$T$63,0),1),0)))))</f>
        <v>#N/A</v>
      </c>
      <c r="E14" s="220"/>
      <c r="F14" s="2" t="e">
        <f>IF(C14="RNDTRD",VLOOKUP(E14,DIAMOND!$C$9:$D$102,2,0),IF(C14="RND",VLOOKUP(E14,DIAMOND!$C$9:$D$102,2,0),IF(C14="MRQ",VLOOKUP(E14,DIAMOND!$T$40:$U$58,2,0),IF(C14="PRI",VLOOKUP(E14,DIAMOND!$N$9:$O$63,2,0),IF(C14="PRITRD",VLOOKUP(E14,DIAMOND!$N$9:$O$63,2,0),IF(C14="BUG",VLOOKUP(E14,DIAMOND!$H$9:$I$45,2,0),IF(C14="BUGTRD",VLOOKUP(E14,DIAMOND!$H$9:$I$45,2,0),IF(C14="TAPTRD",VLOOKUP(E14,DIAMOND!$H$9:$I$45,2,0),IF(C14="TAP",VLOOKUP(E14,DIAMOND!$H$9:$I$45,2,0),IF(C14="PRS",VLOOKUP(E14,DIAMOND!$T$9:$U$35,2,0),IF(C14="OVL",VLOOKUP(E14,DIAMOND!$T$64:$U$82,2,0),IF(C14="EMR",VLOOKUP(E14,DIAMOND!$N$69:$O$83,2,0),0))))))))))))</f>
        <v>#N/A</v>
      </c>
      <c r="G14" s="59"/>
      <c r="H14" s="56" t="e">
        <f t="shared" si="0"/>
        <v>#N/A</v>
      </c>
      <c r="M14" s="293"/>
      <c r="P14" s="296"/>
      <c r="Q14" s="296"/>
      <c r="R14" s="296"/>
      <c r="S14" s="296"/>
    </row>
    <row r="15" spans="3:19" ht="15" hidden="1" customHeight="1">
      <c r="C15" s="372" t="s">
        <v>23</v>
      </c>
      <c r="D15" s="55" t="e">
        <f>IF(C15="RNDTRD",INDEX(DIAMOND!$B$9:$C$102,MATCH(E15,DIAMOND!$C$9:$C$102,0),1),IF(C15="RND",INDEX(DIAMOND!$B$9:$C$102,MATCH(E15,DIAMOND!$C$9:$C$102,0),1),IF(C15="PRI",INDEX(DIAMOND!$M$9:$N$63,MATCH(E15,DIAMOND!$N$9:$N$63,0),1),IF(C15="MRQ",INDEX(DIAMOND!$S$40:$T$58,MATCH(E15,DIAMOND!$T$40:$T$58,0),1),IF(C15="PRS",INDEX(DIAMOND!$S$9:$T$35,MATCH(E15,DIAMOND!$T$9:$T$63,0),1),0)))))</f>
        <v>#N/A</v>
      </c>
      <c r="E15" s="220"/>
      <c r="F15" s="2" t="e">
        <f>IF(C15="RNDTRD",VLOOKUP(E15,DIAMOND!$C$9:$D$102,2,0),IF(C15="RND",VLOOKUP(E15,DIAMOND!$C$9:$D$102,2,0),IF(C15="MRQ",VLOOKUP(E15,DIAMOND!$T$40:$U$58,2,0),IF(C15="PRI",VLOOKUP(E15,DIAMOND!$N$9:$O$63,2,0),IF(C15="PRITRD",VLOOKUP(E15,DIAMOND!$N$9:$O$63,2,0),IF(C15="BUG",VLOOKUP(E15,DIAMOND!$H$9:$I$45,2,0),IF(C15="BUGTRD",VLOOKUP(E15,DIAMOND!$H$9:$I$45,2,0),IF(C15="TAPTRD",VLOOKUP(E15,DIAMOND!$H$9:$I$45,2,0),IF(C15="TAP",VLOOKUP(E15,DIAMOND!$H$9:$I$45,2,0),IF(C15="PRS",VLOOKUP(E15,DIAMOND!$T$9:$U$35,2,0),IF(C15="OVL",VLOOKUP(E15,DIAMOND!$T$64:$U$82,2,0),IF(C15="EMR",VLOOKUP(E15,DIAMOND!$N$69:$O$83,2,0),0))))))))))))</f>
        <v>#N/A</v>
      </c>
      <c r="G15" s="59"/>
      <c r="H15" s="56" t="e">
        <f t="shared" si="0"/>
        <v>#N/A</v>
      </c>
      <c r="P15" s="296"/>
      <c r="Q15" s="296"/>
      <c r="R15" s="296"/>
      <c r="S15" s="296"/>
    </row>
    <row r="16" spans="3:19" ht="15.75" hidden="1" customHeight="1">
      <c r="C16" s="372" t="s">
        <v>23</v>
      </c>
      <c r="D16" s="55" t="e">
        <f>IF(C16="RNDTRD",INDEX(DIAMOND!$B$9:$C$102,MATCH(E16,DIAMOND!$C$9:$C$102,0),1),IF(C16="RND",INDEX(DIAMOND!$B$9:$C$102,MATCH(E16,DIAMOND!$C$9:$C$102,0),1),IF(C16="PRI",INDEX(DIAMOND!$M$9:$N$63,MATCH(E16,DIAMOND!$N$9:$N$63,0),1),IF(C16="MRQ",INDEX(DIAMOND!$S$40:$T$58,MATCH(E16,DIAMOND!$T$40:$T$58,0),1),IF(C16="PRS",INDEX(DIAMOND!$S$9:$T$35,MATCH(E16,DIAMOND!$T$9:$T$63,0),1),0)))))</f>
        <v>#N/A</v>
      </c>
      <c r="E16" s="220"/>
      <c r="F16" s="2" t="e">
        <f>IF(C16="RNDTRD",VLOOKUP(E16,DIAMOND!$C$9:$D$102,2,0),IF(C16="RND",VLOOKUP(E16,DIAMOND!$C$9:$D$102,2,0),IF(C16="MRQ",VLOOKUP(E16,DIAMOND!$T$40:$U$58,2,0),IF(C16="PRI",VLOOKUP(E16,DIAMOND!$N$9:$O$63,2,0),IF(C16="PRITRD",VLOOKUP(E16,DIAMOND!$N$9:$O$63,2,0),IF(C16="BUG",VLOOKUP(E16,DIAMOND!$H$9:$I$45,2,0),IF(C16="BUGTRD",VLOOKUP(E16,DIAMOND!$H$9:$I$45,2,0),IF(C16="TAPTRD",VLOOKUP(E16,DIAMOND!$H$9:$I$45,2,0),IF(C16="TAP",VLOOKUP(E16,DIAMOND!$H$9:$I$45,2,0),IF(C16="PRS",VLOOKUP(E16,DIAMOND!$T$9:$U$35,2,0),IF(C16="OVL",VLOOKUP(E16,DIAMOND!$T$64:$U$82,2,0),IF(C16="EMR",VLOOKUP(E16,DIAMOND!$N$69:$O$83,2,0),0))))))))))))</f>
        <v>#N/A</v>
      </c>
      <c r="G16" s="59"/>
      <c r="H16" s="56" t="e">
        <f t="shared" si="0"/>
        <v>#N/A</v>
      </c>
      <c r="M16" s="293"/>
      <c r="P16" s="296"/>
      <c r="Q16" s="296"/>
      <c r="R16" s="296"/>
      <c r="S16" s="296"/>
    </row>
    <row r="17" spans="3:19" ht="15" hidden="1" customHeight="1">
      <c r="C17" s="372" t="s">
        <v>23</v>
      </c>
      <c r="D17" s="55" t="e">
        <f>IF(C17="RNDTRD",INDEX(DIAMOND!$B$9:$C$102,MATCH(E17,DIAMOND!$C$9:$C$102,0),1),IF(C17="RND",INDEX(DIAMOND!$B$9:$C$102,MATCH(E17,DIAMOND!$C$9:$C$102,0),1),IF(C17="PRI",INDEX(DIAMOND!$M$9:$N$63,MATCH(E17,DIAMOND!$N$9:$N$63,0),1),IF(C17="MRQ",INDEX(DIAMOND!$S$40:$T$58,MATCH(E17,DIAMOND!$T$40:$T$58,0),1),IF(C17="PRS",INDEX(DIAMOND!$S$9:$T$35,MATCH(E17,DIAMOND!$T$9:$T$63,0),1),0)))))</f>
        <v>#N/A</v>
      </c>
      <c r="E17" s="220"/>
      <c r="F17" s="2" t="e">
        <f>IF(C17="RNDTRD",VLOOKUP(E17,DIAMOND!$C$9:$D$102,2,0),IF(C17="RND",VLOOKUP(E17,DIAMOND!$C$9:$D$102,2,0),IF(C17="MRQ",VLOOKUP(E17,DIAMOND!$T$40:$U$58,2,0),IF(C17="PRI",VLOOKUP(E17,DIAMOND!$N$9:$O$63,2,0),IF(C17="PRITRD",VLOOKUP(E17,DIAMOND!$N$9:$O$63,2,0),IF(C17="BUG",VLOOKUP(E17,DIAMOND!$H$9:$I$45,2,0),IF(C17="BUGTRD",VLOOKUP(E17,DIAMOND!$H$9:$I$45,2,0),IF(C17="TAPTRD",VLOOKUP(E17,DIAMOND!$H$9:$I$45,2,0),IF(C17="TAP",VLOOKUP(E17,DIAMOND!$H$9:$I$45,2,0),IF(C17="PRS",VLOOKUP(E17,DIAMOND!$T$9:$U$35,2,0),IF(C17="OVL",VLOOKUP(E17,DIAMOND!$T$64:$U$82,2,0),IF(C17="EMR",VLOOKUP(E17,DIAMOND!$N$69:$O$83,2,0),0))))))))))))</f>
        <v>#N/A</v>
      </c>
      <c r="G17" s="59"/>
      <c r="H17" s="56" t="e">
        <f t="shared" si="0"/>
        <v>#N/A</v>
      </c>
      <c r="P17" s="296"/>
      <c r="Q17" s="296"/>
      <c r="R17" s="296"/>
      <c r="S17" s="296"/>
    </row>
    <row r="18" spans="3:19" ht="15" hidden="1" customHeight="1">
      <c r="C18" s="372" t="s">
        <v>23</v>
      </c>
      <c r="D18" s="55" t="e">
        <f>IF(C18="RNDTRD",INDEX(DIAMOND!$B$9:$C$102,MATCH(E18,DIAMOND!$C$9:$C$102,0),1),IF(C18="RND",INDEX(DIAMOND!$B$9:$C$102,MATCH(E18,DIAMOND!$C$9:$C$102,0),1),IF(C18="PRI",INDEX(DIAMOND!$M$9:$N$63,MATCH(E18,DIAMOND!$N$9:$N$63,0),1),IF(C18="MRQ",INDEX(DIAMOND!$S$40:$T$58,MATCH(E18,DIAMOND!$T$40:$T$58,0),1),IF(C18="PRS",INDEX(DIAMOND!$S$9:$T$35,MATCH(E18,DIAMOND!$T$9:$T$63,0),1),0)))))</f>
        <v>#N/A</v>
      </c>
      <c r="E18" s="220"/>
      <c r="F18" s="2" t="e">
        <f>IF(C18="RNDTRD",VLOOKUP(E18,DIAMOND!$C$9:$D$102,2,0),IF(C18="RND",VLOOKUP(E18,DIAMOND!$C$9:$D$102,2,0),IF(C18="MRQ",VLOOKUP(E18,DIAMOND!$T$40:$U$58,2,0),IF(C18="PRI",VLOOKUP(E18,DIAMOND!$N$9:$O$63,2,0),IF(C18="PRITRD",VLOOKUP(E18,DIAMOND!$N$9:$O$63,2,0),IF(C18="BUG",VLOOKUP(E18,DIAMOND!$H$9:$I$45,2,0),IF(C18="BUGTRD",VLOOKUP(E18,DIAMOND!$H$9:$I$45,2,0),IF(C18="TAPTRD",VLOOKUP(E18,DIAMOND!$H$9:$I$45,2,0),IF(C18="TAP",VLOOKUP(E18,DIAMOND!$H$9:$I$45,2,0),IF(C18="PRS",VLOOKUP(E18,DIAMOND!$T$9:$U$35,2,0),IF(C18="OVL",VLOOKUP(E18,DIAMOND!$T$64:$U$82,2,0),IF(C18="EMR",VLOOKUP(E18,DIAMOND!$N$69:$O$83,2,0),0))))))))))))</f>
        <v>#N/A</v>
      </c>
      <c r="G18" s="59"/>
      <c r="H18" s="56" t="e">
        <f t="shared" si="0"/>
        <v>#N/A</v>
      </c>
      <c r="P18" s="296"/>
      <c r="Q18" s="296"/>
      <c r="R18" s="296"/>
      <c r="S18" s="296"/>
    </row>
    <row r="19" spans="3:19" ht="15" hidden="1" customHeight="1" thickBot="1">
      <c r="C19" s="372" t="s">
        <v>23</v>
      </c>
      <c r="D19" s="55" t="e">
        <f>IF(C19="RNDTRD",INDEX(DIAMOND!$B$9:$C$102,MATCH(E19,DIAMOND!$C$9:$C$102,0),1),IF(C19="RND",INDEX(DIAMOND!$B$9:$C$102,MATCH(E19,DIAMOND!$C$9:$C$102,0),1),IF(C19="PRI",INDEX(DIAMOND!$M$9:$N$63,MATCH(E19,DIAMOND!$N$9:$N$63,0),1),IF(C19="MRQ",INDEX(DIAMOND!$S$40:$T$58,MATCH(E19,DIAMOND!$T$40:$T$58,0),1),IF(C19="PRS",INDEX(DIAMOND!$S$9:$T$35,MATCH(E19,DIAMOND!$T$9:$T$63,0),1),0)))))</f>
        <v>#N/A</v>
      </c>
      <c r="E19" s="220"/>
      <c r="F19" s="2" t="e">
        <f>IF(C19="RNDTRD",VLOOKUP(E19,DIAMOND!$C$9:$D$102,2,0),IF(C19="RND",VLOOKUP(E19,DIAMOND!$C$9:$D$102,2,0),IF(C19="MRQ",VLOOKUP(E19,DIAMOND!$T$40:$U$58,2,0),IF(C19="PRI",VLOOKUP(E19,DIAMOND!$N$9:$O$63,2,0),IF(C19="PRITRD",VLOOKUP(E19,DIAMOND!$N$9:$O$63,2,0),IF(C19="BUG",VLOOKUP(E19,DIAMOND!$H$9:$I$45,2,0),IF(C19="BUGTRD",VLOOKUP(E19,DIAMOND!$H$9:$I$45,2,0),IF(C19="TAPTRD",VLOOKUP(E19,DIAMOND!$H$9:$I$45,2,0),IF(C19="TAP",VLOOKUP(E19,DIAMOND!$H$9:$I$45,2,0),IF(C19="PRS",VLOOKUP(E19,DIAMOND!$T$9:$U$35,2,0),IF(C19="OVL",VLOOKUP(E19,DIAMOND!$T$64:$U$82,2,0),IF(C19="EMR",VLOOKUP(E19,DIAMOND!$N$69:$O$83,2,0),0))))))))))))</f>
        <v>#N/A</v>
      </c>
      <c r="G19" s="59"/>
      <c r="H19" s="56" t="e">
        <f t="shared" si="0"/>
        <v>#N/A</v>
      </c>
      <c r="P19" s="296"/>
      <c r="Q19" s="296"/>
      <c r="R19" s="296"/>
      <c r="S19" s="296"/>
    </row>
    <row r="20" spans="3:19" ht="15" hidden="1" customHeight="1">
      <c r="C20" s="372"/>
      <c r="D20" s="55">
        <f>IF(C20="RNDTRD",INDEX(DIAMOND!$B$9:$C$102,MATCH(E20,DIAMOND!$C$9:$C$102,0),1),IF(C20="RND",INDEX(DIAMOND!$B$9:$C$102,MATCH(E20,DIAMOND!$C$9:$C$102,0),1),IF(C20="PRI",INDEX(DIAMOND!$M$9:$N$63,MATCH(E20,DIAMOND!$N$9:$N$63,0),1),IF(C20="MRQ",INDEX(DIAMOND!$S$40:$T$58,MATCH(E20,DIAMOND!$T$40:$T$58,0),1),IF(C20="PRS",INDEX(DIAMOND!$S$9:$T$35,MATCH(E20,DIAMOND!$T$9:$T$63,0),1),0)))))</f>
        <v>0</v>
      </c>
      <c r="E20" s="220"/>
      <c r="F20" s="2">
        <f>IF(C20="RNDTRD",VLOOKUP(E20,DIAMOND!$C$9:$D$102,2,0),IF(C20="RND",VLOOKUP(E20,DIAMOND!$C$9:$D$102,2,0),IF(C20="MRQ",VLOOKUP(E20,DIAMOND!$T$40:$U$58,2,0),IF(C20="PRI",VLOOKUP(E20,DIAMOND!$N$9:$O$63,2,0),IF(C20="PRITRD",VLOOKUP(E20,DIAMOND!$N$9:$O$63,2,0),IF(C20="BUG",VLOOKUP(E20,DIAMOND!$H$9:$I$45,2,0),IF(C20="BUGTRD",VLOOKUP(E20,DIAMOND!$H$9:$I$45,2,0),IF(C20="TAPTRD",VLOOKUP(E20,DIAMOND!$H$9:$I$45,2,0),IF(C20="TAP",VLOOKUP(E20,DIAMOND!$H$9:$I$45,2,0),IF(C20="PRS",VLOOKUP(E20,DIAMOND!$T$9:$U$35,2,0),IF(C20="OVL",VLOOKUP(E20,DIAMOND!$T$64:$U$82,2,0),IF(C20="EMR",VLOOKUP(E20,DIAMOND!$N$69:$O$83,2,0),0))))))))))))</f>
        <v>0</v>
      </c>
      <c r="G20" s="59"/>
      <c r="H20" s="56">
        <f t="shared" si="0"/>
        <v>0</v>
      </c>
      <c r="P20" s="296"/>
      <c r="Q20" s="296"/>
      <c r="R20" s="296"/>
      <c r="S20" s="296"/>
    </row>
    <row r="21" spans="3:19" ht="15" hidden="1" customHeight="1">
      <c r="C21" s="372"/>
      <c r="D21" s="55">
        <f>IF(C21="RNDTRD",INDEX(DIAMOND!$B$9:$C$102,MATCH(E21,DIAMOND!$C$9:$C$102,0),1),IF(C21="RND",INDEX(DIAMOND!$B$9:$C$102,MATCH(E21,DIAMOND!$C$9:$C$102,0),1),IF(C21="PRI",INDEX(DIAMOND!$M$9:$N$63,MATCH(E21,DIAMOND!$N$9:$N$63,0),1),IF(C21="MRQ",INDEX(DIAMOND!$S$40:$T$58,MATCH(E21,DIAMOND!$T$40:$T$58,0),1),IF(C21="PRS",INDEX(DIAMOND!$S$9:$T$35,MATCH(E21,DIAMOND!$T$9:$T$63,0),1),0)))))</f>
        <v>0</v>
      </c>
      <c r="E21" s="220"/>
      <c r="F21" s="2">
        <f>IF(C21="RNDTRD",VLOOKUP(E21,DIAMOND!$C$9:$D$102,2,0),IF(C21="RND",VLOOKUP(E21,DIAMOND!$C$9:$D$102,2,0),IF(C21="MRQ",VLOOKUP(E21,DIAMOND!$T$40:$U$58,2,0),IF(C21="PRI",VLOOKUP(E21,DIAMOND!$N$9:$O$63,2,0),IF(C21="PRITRD",VLOOKUP(E21,DIAMOND!$N$9:$O$63,2,0),IF(C21="BUG",VLOOKUP(E21,DIAMOND!$H$9:$I$45,2,0),IF(C21="BUGTRD",VLOOKUP(E21,DIAMOND!$H$9:$I$45,2,0),IF(C21="TAPTRD",VLOOKUP(E21,DIAMOND!$H$9:$I$45,2,0),IF(C21="TAP",VLOOKUP(E21,DIAMOND!$H$9:$I$45,2,0),IF(C21="PRS",VLOOKUP(E21,DIAMOND!$T$9:$U$35,2,0),IF(C21="OVL",VLOOKUP(E21,DIAMOND!$T$64:$U$82,2,0),IF(C21="EMR",VLOOKUP(E21,DIAMOND!$N$69:$O$83,2,0),0))))))))))))</f>
        <v>0</v>
      </c>
      <c r="G21" s="59"/>
      <c r="H21" s="56">
        <f t="shared" si="0"/>
        <v>0</v>
      </c>
      <c r="P21" s="296"/>
      <c r="Q21" s="296"/>
      <c r="R21" s="296"/>
      <c r="S21" s="296"/>
    </row>
    <row r="22" spans="3:19" ht="15" hidden="1" customHeight="1">
      <c r="C22" s="372"/>
      <c r="D22" s="55">
        <f>IF(C22="RNDTRD",INDEX(DIAMOND!$B$9:$C$102,MATCH(E22,DIAMOND!$C$9:$C$102,0),1),IF(C22="RND",INDEX(DIAMOND!$B$9:$C$102,MATCH(E22,DIAMOND!$C$9:$C$102,0),1),IF(C22="PRI",INDEX(DIAMOND!$M$9:$N$63,MATCH(E22,DIAMOND!$N$9:$N$63,0),1),IF(C22="MRQ",INDEX(DIAMOND!$S$40:$T$58,MATCH(E22,DIAMOND!$T$40:$T$58,0),1),IF(C22="PRS",INDEX(DIAMOND!$S$9:$T$35,MATCH(E22,DIAMOND!$T$9:$T$63,0),1),0)))))</f>
        <v>0</v>
      </c>
      <c r="E22" s="220"/>
      <c r="F22" s="2">
        <f>IF(C22="RNDTRD",VLOOKUP(E22,DIAMOND!$C$9:$D$102,2,0),IF(C22="RND",VLOOKUP(E22,DIAMOND!$C$9:$D$102,2,0),IF(C22="MRQ",VLOOKUP(E22,DIAMOND!$T$40:$U$58,2,0),IF(C22="PRI",VLOOKUP(E22,DIAMOND!$N$9:$O$63,2,0),IF(C22="PRITRD",VLOOKUP(E22,DIAMOND!$N$9:$O$63,2,0),IF(C22="BUG",VLOOKUP(E22,DIAMOND!$H$9:$I$45,2,0),IF(C22="BUGTRD",VLOOKUP(E22,DIAMOND!$H$9:$I$45,2,0),IF(C22="TAPTRD",VLOOKUP(E22,DIAMOND!$H$9:$I$45,2,0),IF(C22="TAP",VLOOKUP(E22,DIAMOND!$H$9:$I$45,2,0),IF(C22="PRS",VLOOKUP(E22,DIAMOND!$T$9:$U$35,2,0),IF(C22="OVL",VLOOKUP(E22,DIAMOND!$T$64:$U$82,2,0),IF(C22="EMR",VLOOKUP(E22,DIAMOND!$N$69:$O$83,2,0),0))))))))))))</f>
        <v>0</v>
      </c>
      <c r="G22" s="59"/>
      <c r="H22" s="56">
        <f t="shared" si="0"/>
        <v>0</v>
      </c>
      <c r="P22" s="296"/>
      <c r="Q22" s="296"/>
      <c r="R22" s="296"/>
      <c r="S22" s="296"/>
    </row>
    <row r="23" spans="3:19" ht="15" hidden="1" customHeight="1">
      <c r="C23" s="372"/>
      <c r="D23" s="55">
        <f>IF(C23="RNDTRD",INDEX(DIAMOND!$B$9:$C$102,MATCH(E23,DIAMOND!$C$9:$C$102,0),1),IF(C23="RND",INDEX(DIAMOND!$B$9:$C$102,MATCH(E23,DIAMOND!$C$9:$C$102,0),1),IF(C23="PRI",INDEX(DIAMOND!$M$9:$N$63,MATCH(E23,DIAMOND!$N$9:$N$63,0),1),IF(C23="MRQ",INDEX(DIAMOND!$S$40:$T$58,MATCH(E23,DIAMOND!$T$40:$T$58,0),1),IF(C23="PRS",INDEX(DIAMOND!$S$9:$T$35,MATCH(E23,DIAMOND!$T$9:$T$63,0),1),0)))))</f>
        <v>0</v>
      </c>
      <c r="E23" s="220"/>
      <c r="F23" s="2">
        <f>IF(C23="RNDTRD",VLOOKUP(E23,DIAMOND!$C$9:$D$102,2,0),IF(C23="RND",VLOOKUP(E23,DIAMOND!$C$9:$D$102,2,0),IF(C23="MRQ",VLOOKUP(E23,DIAMOND!$T$40:$U$58,2,0),IF(C23="PRI",VLOOKUP(E23,DIAMOND!$N$9:$O$63,2,0),IF(C23="PRITRD",VLOOKUP(E23,DIAMOND!$N$9:$O$63,2,0),IF(C23="BUG",VLOOKUP(E23,DIAMOND!$H$9:$I$45,2,0),IF(C23="BUGTRD",VLOOKUP(E23,DIAMOND!$H$9:$I$45,2,0),IF(C23="TAPTRD",VLOOKUP(E23,DIAMOND!$H$9:$I$45,2,0),IF(C23="TAP",VLOOKUP(E23,DIAMOND!$H$9:$I$45,2,0),IF(C23="PRS",VLOOKUP(E23,DIAMOND!$T$9:$U$35,2,0),IF(C23="OVL",VLOOKUP(E23,DIAMOND!$T$64:$U$82,2,0),IF(C23="EMR",VLOOKUP(E23,DIAMOND!$N$69:$O$83,2,0),0))))))))))))</f>
        <v>0</v>
      </c>
      <c r="G23" s="59"/>
      <c r="H23" s="56">
        <f t="shared" si="0"/>
        <v>0</v>
      </c>
      <c r="P23" s="296"/>
      <c r="Q23" s="296"/>
      <c r="R23" s="296"/>
      <c r="S23" s="296"/>
    </row>
    <row r="24" spans="3:19" ht="15" hidden="1" customHeight="1">
      <c r="C24" s="372"/>
      <c r="D24" s="55">
        <f>IF(C24="RNDTRD",INDEX(DIAMOND!$B$9:$C$102,MATCH(E24,DIAMOND!$C$9:$C$102,0),1),IF(C24="RND",INDEX(DIAMOND!$B$9:$C$102,MATCH(E24,DIAMOND!$C$9:$C$102,0),1),IF(C24="PRI",INDEX(DIAMOND!$M$9:$N$63,MATCH(E24,DIAMOND!$N$9:$N$63,0),1),IF(C24="MRQ",INDEX(DIAMOND!$S$40:$T$58,MATCH(E24,DIAMOND!$T$40:$T$58,0),1),IF(C24="PRS",INDEX(DIAMOND!$S$9:$T$35,MATCH(E24,DIAMOND!$T$9:$T$63,0),1),0)))))</f>
        <v>0</v>
      </c>
      <c r="E24" s="220"/>
      <c r="F24" s="2">
        <f>IF(C24="RNDTRD",VLOOKUP(E24,DIAMOND!$C$9:$D$102,2,0),IF(C24="RND",VLOOKUP(E24,DIAMOND!$C$9:$D$102,2,0),IF(C24="MRQ",VLOOKUP(E24,DIAMOND!$T$40:$U$58,2,0),IF(C24="PRI",VLOOKUP(E24,DIAMOND!$N$9:$O$63,2,0),IF(C24="PRITRD",VLOOKUP(E24,DIAMOND!$N$9:$O$63,2,0),IF(C24="BUG",VLOOKUP(E24,DIAMOND!$H$9:$I$45,2,0),IF(C24="BUGTRD",VLOOKUP(E24,DIAMOND!$H$9:$I$45,2,0),IF(C24="TAPTRD",VLOOKUP(E24,DIAMOND!$H$9:$I$45,2,0),IF(C24="TAP",VLOOKUP(E24,DIAMOND!$H$9:$I$45,2,0),IF(C24="PRS",VLOOKUP(E24,DIAMOND!$T$9:$U$35,2,0),IF(C24="OVL",VLOOKUP(E24,DIAMOND!$T$64:$U$82,2,0),IF(C24="EMR",VLOOKUP(E24,DIAMOND!$N$69:$O$83,2,0),0))))))))))))</f>
        <v>0</v>
      </c>
      <c r="G24" s="59"/>
      <c r="H24" s="56">
        <f t="shared" si="0"/>
        <v>0</v>
      </c>
      <c r="P24" s="296"/>
      <c r="Q24" s="296"/>
      <c r="R24" s="296"/>
      <c r="S24" s="296"/>
    </row>
    <row r="25" spans="3:19" ht="15" hidden="1" customHeight="1">
      <c r="C25" s="372"/>
      <c r="D25" s="55">
        <f>IF(C25="RNDTRD",INDEX(DIAMOND!$B$9:$C$102,MATCH(E25,DIAMOND!$C$9:$C$102,0),1),IF(C25="RND",INDEX(DIAMOND!$B$9:$C$102,MATCH(E25,DIAMOND!$C$9:$C$102,0),1),IF(C25="PRI",INDEX(DIAMOND!$M$9:$N$63,MATCH(E25,DIAMOND!$N$9:$N$63,0),1),IF(C25="MRQ",INDEX(DIAMOND!$S$40:$T$58,MATCH(E25,DIAMOND!$T$40:$T$58,0),1),IF(C25="PRS",INDEX(DIAMOND!$S$9:$T$35,MATCH(E25,DIAMOND!$T$9:$T$63,0),1),0)))))</f>
        <v>0</v>
      </c>
      <c r="E25" s="220"/>
      <c r="F25" s="2">
        <f>IF(C25="RNDTRD",VLOOKUP(E25,DIAMOND!$C$9:$D$102,2,0),IF(C25="RND",VLOOKUP(E25,DIAMOND!$C$9:$D$102,2,0),IF(C25="MRQ",VLOOKUP(E25,DIAMOND!$T$40:$U$58,2,0),IF(C25="PRI",VLOOKUP(E25,DIAMOND!$N$9:$O$63,2,0),IF(C25="PRITRD",VLOOKUP(E25,DIAMOND!$N$9:$O$63,2,0),IF(C25="BUG",VLOOKUP(E25,DIAMOND!$H$9:$I$45,2,0),IF(C25="BUGTRD",VLOOKUP(E25,DIAMOND!$H$9:$I$45,2,0),IF(C25="TAPTRD",VLOOKUP(E25,DIAMOND!$H$9:$I$45,2,0),IF(C25="TAP",VLOOKUP(E25,DIAMOND!$H$9:$I$45,2,0),IF(C25="PRS",VLOOKUP(E25,DIAMOND!$T$9:$U$35,2,0),IF(C25="OVL",VLOOKUP(E25,DIAMOND!$T$64:$U$82,2,0),IF(C25="EMR",VLOOKUP(E25,DIAMOND!$N$69:$O$83,2,0),0))))))))))))</f>
        <v>0</v>
      </c>
      <c r="G25" s="59"/>
      <c r="H25" s="56">
        <f t="shared" si="0"/>
        <v>0</v>
      </c>
      <c r="P25" s="296"/>
      <c r="Q25" s="296"/>
      <c r="R25" s="296"/>
      <c r="S25" s="296"/>
    </row>
    <row r="26" spans="3:19" ht="15" hidden="1" customHeight="1">
      <c r="C26" s="372"/>
      <c r="D26" s="55">
        <f>IF(C26="RNDTRD",INDEX(DIAMOND!$B$9:$C$102,MATCH(E26,DIAMOND!$C$9:$C$102,0),1),IF(C26="RND",INDEX(DIAMOND!$B$9:$C$102,MATCH(E26,DIAMOND!$C$9:$C$102,0),1),IF(C26="PRI",INDEX(DIAMOND!$M$9:$N$63,MATCH(E26,DIAMOND!$N$9:$N$63,0),1),IF(C26="MRQ",INDEX(DIAMOND!$S$40:$T$58,MATCH(E26,DIAMOND!$T$40:$T$58,0),1),IF(C26="PRS",INDEX(DIAMOND!$S$9:$T$35,MATCH(E26,DIAMOND!$T$9:$T$63,0),1),0)))))</f>
        <v>0</v>
      </c>
      <c r="E26" s="220"/>
      <c r="F26" s="2">
        <f>IF(C26="RNDTRD",VLOOKUP(E26,DIAMOND!$C$9:$D$102,2,0),IF(C26="RND",VLOOKUP(E26,DIAMOND!$C$9:$D$102,2,0),IF(C26="MRQ",VLOOKUP(E26,DIAMOND!$T$40:$U$58,2,0),IF(C26="PRI",VLOOKUP(E26,DIAMOND!$N$9:$O$63,2,0),IF(C26="PRITRD",VLOOKUP(E26,DIAMOND!$N$9:$O$63,2,0),IF(C26="BUG",VLOOKUP(E26,DIAMOND!$H$9:$I$45,2,0),IF(C26="BUGTRD",VLOOKUP(E26,DIAMOND!$H$9:$I$45,2,0),IF(C26="TAPTRD",VLOOKUP(E26,DIAMOND!$H$9:$I$45,2,0),IF(C26="TAP",VLOOKUP(E26,DIAMOND!$H$9:$I$45,2,0),IF(C26="PRS",VLOOKUP(E26,DIAMOND!$T$9:$U$35,2,0),IF(C26="OVL",VLOOKUP(E26,DIAMOND!$T$64:$U$82,2,0),IF(C26="EMR",VLOOKUP(E26,DIAMOND!$N$69:$O$83,2,0),0))))))))))))</f>
        <v>0</v>
      </c>
      <c r="G26" s="59"/>
      <c r="H26" s="56">
        <f t="shared" si="0"/>
        <v>0</v>
      </c>
      <c r="P26" s="296"/>
      <c r="Q26" s="296"/>
      <c r="R26" s="296"/>
      <c r="S26" s="296"/>
    </row>
    <row r="27" spans="3:19" ht="15" hidden="1" customHeight="1">
      <c r="C27" s="372"/>
      <c r="D27" s="55">
        <f>IF(C27="RNDTRD",INDEX(DIAMOND!$B$9:$C$102,MATCH(E27,DIAMOND!$C$9:$C$102,0),1),IF(C27="RND",INDEX(DIAMOND!$B$9:$C$102,MATCH(E27,DIAMOND!$C$9:$C$102,0),1),IF(C27="PRI",INDEX(DIAMOND!$M$9:$N$63,MATCH(E27,DIAMOND!$N$9:$N$63,0),1),IF(C27="MRQ",INDEX(DIAMOND!$S$40:$T$58,MATCH(E27,DIAMOND!$T$40:$T$58,0),1),IF(C27="PRS",INDEX(DIAMOND!$S$9:$T$35,MATCH(E27,DIAMOND!$T$9:$T$63,0),1),0)))))</f>
        <v>0</v>
      </c>
      <c r="E27" s="220"/>
      <c r="F27" s="2">
        <f>IF(C27="RNDTRD",VLOOKUP(E27,DIAMOND!$C$9:$D$102,2,0),IF(C27="RND",VLOOKUP(E27,DIAMOND!$C$9:$D$102,2,0),IF(C27="MRQ",VLOOKUP(E27,DIAMOND!$T$40:$U$58,2,0),IF(C27="PRI",VLOOKUP(E27,DIAMOND!$N$9:$O$63,2,0),IF(C27="PRITRD",VLOOKUP(E27,DIAMOND!$N$9:$O$63,2,0),IF(C27="BUG",VLOOKUP(E27,DIAMOND!$H$9:$I$45,2,0),IF(C27="BUGTRD",VLOOKUP(E27,DIAMOND!$H$9:$I$45,2,0),IF(C27="TAPTRD",VLOOKUP(E27,DIAMOND!$H$9:$I$45,2,0),IF(C27="TAP",VLOOKUP(E27,DIAMOND!$H$9:$I$45,2,0),IF(C27="PRS",VLOOKUP(E27,DIAMOND!$T$9:$U$35,2,0),IF(C27="OVL",VLOOKUP(E27,DIAMOND!$T$64:$U$82,2,0),IF(C27="EMR",VLOOKUP(E27,DIAMOND!$N$69:$O$83,2,0),0))))))))))))</f>
        <v>0</v>
      </c>
      <c r="G27" s="59"/>
      <c r="H27" s="56">
        <f t="shared" si="0"/>
        <v>0</v>
      </c>
      <c r="P27" s="296"/>
      <c r="Q27" s="296"/>
      <c r="R27" s="296"/>
      <c r="S27" s="296"/>
    </row>
    <row r="28" spans="3:19" ht="15" hidden="1" customHeight="1">
      <c r="C28" s="372"/>
      <c r="D28" s="55">
        <f>IF(C28="RNDTRD",INDEX(DIAMOND!$B$9:$C$102,MATCH(E28,DIAMOND!$C$9:$C$102,0),1),IF(C28="RND",INDEX(DIAMOND!$B$9:$C$102,MATCH(E28,DIAMOND!$C$9:$C$102,0),1),IF(C28="PRI",INDEX(DIAMOND!$M$9:$N$63,MATCH(E28,DIAMOND!$N$9:$N$63,0),1),IF(C28="MRQ",INDEX(DIAMOND!$S$40:$T$58,MATCH(E28,DIAMOND!$T$40:$T$58,0),1),IF(C28="PRS",INDEX(DIAMOND!$S$9:$T$35,MATCH(E28,DIAMOND!$T$9:$T$63,0),1),0)))))</f>
        <v>0</v>
      </c>
      <c r="E28" s="220"/>
      <c r="F28" s="2">
        <f>IF(C28="RNDTRD",VLOOKUP(E28,DIAMOND!$C$9:$D$102,2,0),IF(C28="RND",VLOOKUP(E28,DIAMOND!$C$9:$D$102,2,0),IF(C28="MRQ",VLOOKUP(E28,DIAMOND!$T$40:$U$58,2,0),IF(C28="PRI",VLOOKUP(E28,DIAMOND!$N$9:$O$63,2,0),IF(C28="PRITRD",VLOOKUP(E28,DIAMOND!$N$9:$O$63,2,0),IF(C28="BUG",VLOOKUP(E28,DIAMOND!$H$9:$I$45,2,0),IF(C28="BUGTRD",VLOOKUP(E28,DIAMOND!$H$9:$I$45,2,0),IF(C28="TAPTRD",VLOOKUP(E28,DIAMOND!$H$9:$I$45,2,0),IF(C28="TAP",VLOOKUP(E28,DIAMOND!$H$9:$I$45,2,0),IF(C28="PRS",VLOOKUP(E28,DIAMOND!$T$9:$U$35,2,0),IF(C28="OVL",VLOOKUP(E28,DIAMOND!$T$64:$U$82,2,0),IF(C28="EMR",VLOOKUP(E28,DIAMOND!$N$69:$O$83,2,0),0))))))))))))</f>
        <v>0</v>
      </c>
      <c r="G28" s="59"/>
      <c r="H28" s="56">
        <f t="shared" si="0"/>
        <v>0</v>
      </c>
      <c r="P28" s="296"/>
      <c r="Q28" s="296"/>
      <c r="R28" s="296"/>
      <c r="S28" s="296"/>
    </row>
    <row r="29" spans="3:19" ht="15" hidden="1" customHeight="1">
      <c r="C29" s="372"/>
      <c r="D29" s="55">
        <f>IF(C29="RNDTRD",INDEX(DIAMOND!$B$9:$C$102,MATCH(E29,DIAMOND!$C$9:$C$102,0),1),IF(C29="RND",INDEX(DIAMOND!$B$9:$C$102,MATCH(E29,DIAMOND!$C$9:$C$102,0),1),IF(C29="PRI",INDEX(DIAMOND!$M$9:$N$63,MATCH(E29,DIAMOND!$N$9:$N$63,0),1),IF(C29="MRQ",INDEX(DIAMOND!$S$40:$T$58,MATCH(E29,DIAMOND!$T$40:$T$58,0),1),IF(C29="PRS",INDEX(DIAMOND!$S$9:$T$35,MATCH(E29,DIAMOND!$T$9:$T$63,0),1),0)))))</f>
        <v>0</v>
      </c>
      <c r="E29" s="220"/>
      <c r="F29" s="2">
        <f>IF(C29="RNDTRD",VLOOKUP(E29,DIAMOND!$C$9:$D$102,2,0),IF(C29="RND",VLOOKUP(E29,DIAMOND!$C$9:$D$102,2,0),IF(C29="MRQ",VLOOKUP(E29,DIAMOND!$T$40:$U$58,2,0),IF(C29="PRI",VLOOKUP(E29,DIAMOND!$N$9:$O$63,2,0),IF(C29="PRITRD",VLOOKUP(E29,DIAMOND!$N$9:$O$63,2,0),IF(C29="BUG",VLOOKUP(E29,DIAMOND!$H$9:$I$45,2,0),IF(C29="BUGTRD",VLOOKUP(E29,DIAMOND!$H$9:$I$45,2,0),IF(C29="TAPTRD",VLOOKUP(E29,DIAMOND!$H$9:$I$45,2,0),IF(C29="TAP",VLOOKUP(E29,DIAMOND!$H$9:$I$45,2,0),IF(C29="PRS",VLOOKUP(E29,DIAMOND!$T$9:$U$35,2,0),IF(C29="OVL",VLOOKUP(E29,DIAMOND!$T$64:$U$82,2,0),IF(C29="EMR",VLOOKUP(E29,DIAMOND!$N$69:$O$83,2,0),0))))))))))))</f>
        <v>0</v>
      </c>
      <c r="G29" s="59"/>
      <c r="H29" s="56">
        <f t="shared" si="0"/>
        <v>0</v>
      </c>
      <c r="P29" s="296"/>
      <c r="Q29" s="296"/>
      <c r="R29" s="296"/>
      <c r="S29" s="296"/>
    </row>
    <row r="30" spans="3:19" ht="15" hidden="1" customHeight="1">
      <c r="C30" s="372"/>
      <c r="D30" s="55">
        <f>IF(C30="RNDTRD",INDEX(DIAMOND!$B$9:$C$102,MATCH(E30,DIAMOND!$C$9:$C$102,0),1),IF(C30="RND",INDEX(DIAMOND!$B$9:$C$102,MATCH(E30,DIAMOND!$C$9:$C$102,0),1),IF(C30="PRI",INDEX(DIAMOND!$M$9:$N$63,MATCH(E30,DIAMOND!$N$9:$N$63,0),1),IF(C30="MRQ",INDEX(DIAMOND!$S$40:$T$58,MATCH(E30,DIAMOND!$T$40:$T$58,0),1),IF(C30="PRS",INDEX(DIAMOND!$S$9:$T$35,MATCH(E30,DIAMOND!$T$9:$T$63,0),1),0)))))</f>
        <v>0</v>
      </c>
      <c r="E30" s="220"/>
      <c r="F30" s="2">
        <f>IF(C30="RNDTRD",VLOOKUP(E30,DIAMOND!$C$9:$D$102,2,0),IF(C30="RND",VLOOKUP(E30,DIAMOND!$C$9:$D$102,2,0),IF(C30="MRQ",VLOOKUP(E30,DIAMOND!$T$40:$U$58,2,0),IF(C30="PRI",VLOOKUP(E30,DIAMOND!$N$9:$O$63,2,0),IF(C30="PRITRD",VLOOKUP(E30,DIAMOND!$N$9:$O$63,2,0),IF(C30="BUG",VLOOKUP(E30,DIAMOND!$H$9:$I$45,2,0),IF(C30="BUGTRD",VLOOKUP(E30,DIAMOND!$H$9:$I$45,2,0),IF(C30="TAPTRD",VLOOKUP(E30,DIAMOND!$H$9:$I$45,2,0),IF(C30="TAP",VLOOKUP(E30,DIAMOND!$H$9:$I$45,2,0),IF(C30="PRS",VLOOKUP(E30,DIAMOND!$T$9:$U$35,2,0),IF(C30="OVL",VLOOKUP(E30,DIAMOND!$T$64:$U$82,2,0),IF(C30="EMR",VLOOKUP(E30,DIAMOND!$N$69:$O$83,2,0),0))))))))))))</f>
        <v>0</v>
      </c>
      <c r="G30" s="59"/>
      <c r="H30" s="56">
        <f t="shared" si="0"/>
        <v>0</v>
      </c>
      <c r="P30" s="296"/>
      <c r="Q30" s="296"/>
      <c r="R30" s="296"/>
      <c r="S30" s="296"/>
    </row>
    <row r="31" spans="3:19" ht="15" hidden="1" customHeight="1">
      <c r="C31" s="372"/>
      <c r="D31" s="55">
        <f>IF(C31="RNDTRD",INDEX(DIAMOND!$B$9:$C$102,MATCH(E31,DIAMOND!$C$9:$C$102,0),1),IF(C31="RND",INDEX(DIAMOND!$B$9:$C$102,MATCH(E31,DIAMOND!$C$9:$C$102,0),1),IF(C31="PRI",INDEX(DIAMOND!$M$9:$N$63,MATCH(E31,DIAMOND!$N$9:$N$63,0),1),IF(C31="MRQ",INDEX(DIAMOND!$S$40:$T$58,MATCH(E31,DIAMOND!$T$40:$T$58,0),1),IF(C31="PRS",INDEX(DIAMOND!$S$9:$T$35,MATCH(E31,DIAMOND!$T$9:$T$63,0),1),0)))))</f>
        <v>0</v>
      </c>
      <c r="E31" s="220"/>
      <c r="F31" s="2">
        <f>IF(C31="RNDTRD",VLOOKUP(E31,DIAMOND!$C$9:$D$102,2,0),IF(C31="RND",VLOOKUP(E31,DIAMOND!$C$9:$D$102,2,0),IF(C31="MRQ",VLOOKUP(E31,DIAMOND!$T$40:$U$58,2,0),IF(C31="PRI",VLOOKUP(E31,DIAMOND!$N$9:$O$63,2,0),IF(C31="PRITRD",VLOOKUP(E31,DIAMOND!$N$9:$O$63,2,0),IF(C31="BUG",VLOOKUP(E31,DIAMOND!$H$9:$I$45,2,0),IF(C31="BUGTRD",VLOOKUP(E31,DIAMOND!$H$9:$I$45,2,0),IF(C31="TAPTRD",VLOOKUP(E31,DIAMOND!$H$9:$I$45,2,0),IF(C31="TAP",VLOOKUP(E31,DIAMOND!$H$9:$I$45,2,0),IF(C31="PRS",VLOOKUP(E31,DIAMOND!$T$9:$U$35,2,0),IF(C31="OVL",VLOOKUP(E31,DIAMOND!$T$64:$U$82,2,0),IF(C31="EMR",VLOOKUP(E31,DIAMOND!$N$69:$O$83,2,0),0))))))))))))</f>
        <v>0</v>
      </c>
      <c r="G31" s="59"/>
      <c r="H31" s="56">
        <f t="shared" si="0"/>
        <v>0</v>
      </c>
      <c r="P31" s="296"/>
      <c r="Q31" s="296"/>
      <c r="R31" s="296"/>
      <c r="S31" s="296"/>
    </row>
    <row r="32" spans="3:19" ht="15" hidden="1" customHeight="1">
      <c r="C32" s="372"/>
      <c r="D32" s="55">
        <f>IF(C32="RNDTRD",INDEX(DIAMOND!$B$9:$C$102,MATCH(E32,DIAMOND!$C$9:$C$102,0),1),IF(C32="RND",INDEX(DIAMOND!$B$9:$C$102,MATCH(E32,DIAMOND!$C$9:$C$102,0),1),IF(C32="PRI",INDEX(DIAMOND!$M$9:$N$63,MATCH(E32,DIAMOND!$N$9:$N$63,0),1),IF(C32="MRQ",INDEX(DIAMOND!$S$40:$T$58,MATCH(E32,DIAMOND!$T$40:$T$58,0),1),IF(C32="PRS",INDEX(DIAMOND!$S$9:$T$35,MATCH(E32,DIAMOND!$T$9:$T$63,0),1),0)))))</f>
        <v>0</v>
      </c>
      <c r="E32" s="220"/>
      <c r="F32" s="2">
        <f>IF(C32="RNDTRD",VLOOKUP(E32,DIAMOND!$C$9:$D$102,2,0),IF(C32="RND",VLOOKUP(E32,DIAMOND!$C$9:$D$102,2,0),IF(C32="MRQ",VLOOKUP(E32,DIAMOND!$T$40:$U$58,2,0),IF(C32="PRI",VLOOKUP(E32,DIAMOND!$N$9:$O$63,2,0),IF(C32="PRITRD",VLOOKUP(E32,DIAMOND!$N$9:$O$63,2,0),IF(C32="BUG",VLOOKUP(E32,DIAMOND!$H$9:$I$45,2,0),IF(C32="BUGTRD",VLOOKUP(E32,DIAMOND!$H$9:$I$45,2,0),IF(C32="TAPTRD",VLOOKUP(E32,DIAMOND!$H$9:$I$45,2,0),IF(C32="TAP",VLOOKUP(E32,DIAMOND!$H$9:$I$45,2,0),IF(C32="PRS",VLOOKUP(E32,DIAMOND!$T$9:$U$35,2,0),IF(C32="OVL",VLOOKUP(E32,DIAMOND!$T$64:$U$82,2,0),IF(C32="EMR",VLOOKUP(E32,DIAMOND!$N$69:$O$83,2,0),0))))))))))))</f>
        <v>0</v>
      </c>
      <c r="G32" s="59"/>
      <c r="H32" s="56">
        <f t="shared" si="0"/>
        <v>0</v>
      </c>
      <c r="P32" s="296"/>
      <c r="Q32" s="296"/>
      <c r="R32" s="296"/>
      <c r="S32" s="296"/>
    </row>
    <row r="33" spans="3:19" ht="15" hidden="1" customHeight="1">
      <c r="C33" s="372"/>
      <c r="D33" s="55">
        <f>IF(C33="RNDTRD",INDEX(DIAMOND!$B$9:$C$102,MATCH(E33,DIAMOND!$C$9:$C$102,0),1),IF(C33="RND",INDEX(DIAMOND!$B$9:$C$102,MATCH(E33,DIAMOND!$C$9:$C$102,0),1),IF(C33="PRI",INDEX(DIAMOND!$M$9:$N$63,MATCH(E33,DIAMOND!$N$9:$N$63,0),1),IF(C33="MRQ",INDEX(DIAMOND!$S$40:$T$58,MATCH(E33,DIAMOND!$T$40:$T$58,0),1),IF(C33="PRS",INDEX(DIAMOND!$S$9:$T$35,MATCH(E33,DIAMOND!$T$9:$T$63,0),1),0)))))</f>
        <v>0</v>
      </c>
      <c r="E33" s="220"/>
      <c r="F33" s="2">
        <f>IF(C33="RNDTRD",VLOOKUP(E33,DIAMOND!$C$9:$D$102,2,0),IF(C33="RND",VLOOKUP(E33,DIAMOND!$C$9:$D$102,2,0),IF(C33="MRQ",VLOOKUP(E33,DIAMOND!$T$40:$U$58,2,0),IF(C33="PRI",VLOOKUP(E33,DIAMOND!$N$9:$O$63,2,0),IF(C33="PRITRD",VLOOKUP(E33,DIAMOND!$N$9:$O$63,2,0),IF(C33="BUG",VLOOKUP(E33,DIAMOND!$H$9:$I$45,2,0),IF(C33="BUGTRD",VLOOKUP(E33,DIAMOND!$H$9:$I$45,2,0),IF(C33="TAPTRD",VLOOKUP(E33,DIAMOND!$H$9:$I$45,2,0),IF(C33="TAP",VLOOKUP(E33,DIAMOND!$H$9:$I$45,2,0),IF(C33="PRS",VLOOKUP(E33,DIAMOND!$T$9:$U$35,2,0),IF(C33="OVL",VLOOKUP(E33,DIAMOND!$T$64:$U$82,2,0),IF(C33="EMR",VLOOKUP(E33,DIAMOND!$N$69:$O$83,2,0),0))))))))))))</f>
        <v>0</v>
      </c>
      <c r="G33" s="59"/>
      <c r="H33" s="56">
        <f t="shared" si="0"/>
        <v>0</v>
      </c>
      <c r="P33" s="296"/>
      <c r="Q33" s="296"/>
      <c r="R33" s="296"/>
      <c r="S33" s="296"/>
    </row>
    <row r="34" spans="3:19" ht="15" hidden="1" customHeight="1">
      <c r="C34" s="372"/>
      <c r="D34" s="55">
        <f>IF(C34="RNDTRD",INDEX(DIAMOND!$B$9:$C$102,MATCH(E34,DIAMOND!$C$9:$C$102,0),1),IF(C34="RND",INDEX(DIAMOND!$B$9:$C$102,MATCH(E34,DIAMOND!$C$9:$C$102,0),1),IF(C34="PRI",INDEX(DIAMOND!$M$9:$N$63,MATCH(E34,DIAMOND!$N$9:$N$63,0),1),IF(C34="MRQ",INDEX(DIAMOND!$S$40:$T$58,MATCH(E34,DIAMOND!$T$40:$T$58,0),1),IF(C34="PRS",INDEX(DIAMOND!$S$9:$T$35,MATCH(E34,DIAMOND!$T$9:$T$63,0),1),0)))))</f>
        <v>0</v>
      </c>
      <c r="E34" s="220"/>
      <c r="F34" s="2">
        <f>IF(C34="RNDTRD",VLOOKUP(E34,DIAMOND!$C$9:$D$102,2,0),IF(C34="RND",VLOOKUP(E34,DIAMOND!$C$9:$D$102,2,0),IF(C34="MRQ",VLOOKUP(E34,DIAMOND!$T$40:$U$58,2,0),IF(C34="PRI",VLOOKUP(E34,DIAMOND!$N$9:$O$63,2,0),IF(C34="PRITRD",VLOOKUP(E34,DIAMOND!$N$9:$O$63,2,0),IF(C34="BUG",VLOOKUP(E34,DIAMOND!$H$9:$I$45,2,0),IF(C34="BUGTRD",VLOOKUP(E34,DIAMOND!$H$9:$I$45,2,0),IF(C34="TAPTRD",VLOOKUP(E34,DIAMOND!$H$9:$I$45,2,0),IF(C34="TAP",VLOOKUP(E34,DIAMOND!$H$9:$I$45,2,0),IF(C34="PRS",VLOOKUP(E34,DIAMOND!$T$9:$U$35,2,0),IF(C34="OVL",VLOOKUP(E34,DIAMOND!$T$64:$U$82,2,0),IF(C34="EMR",VLOOKUP(E34,DIAMOND!$N$69:$O$83,2,0),0))))))))))))</f>
        <v>0</v>
      </c>
      <c r="G34" s="59"/>
      <c r="H34" s="56">
        <f t="shared" si="0"/>
        <v>0</v>
      </c>
      <c r="P34" s="296"/>
      <c r="Q34" s="296"/>
      <c r="R34" s="296"/>
      <c r="S34" s="296"/>
    </row>
    <row r="35" spans="3:19" ht="15" hidden="1" customHeight="1">
      <c r="C35" s="372"/>
      <c r="D35" s="55">
        <f>IF(C35="RNDTRD",INDEX(DIAMOND!$B$9:$C$102,MATCH(E35,DIAMOND!$C$9:$C$102,0),1),IF(C35="RND",INDEX(DIAMOND!$B$9:$C$102,MATCH(E35,DIAMOND!$C$9:$C$102,0),1),IF(C35="PRI",INDEX(DIAMOND!$M$9:$N$63,MATCH(E35,DIAMOND!$N$9:$N$63,0),1),IF(C35="MRQ",INDEX(DIAMOND!$S$40:$T$58,MATCH(E35,DIAMOND!$T$40:$T$58,0),1),IF(C35="PRS",INDEX(DIAMOND!$S$9:$T$35,MATCH(E35,DIAMOND!$T$9:$T$63,0),1),0)))))</f>
        <v>0</v>
      </c>
      <c r="E35" s="220"/>
      <c r="F35" s="2">
        <f>IF(C35="RNDTRD",VLOOKUP(E35,DIAMOND!$C$9:$D$102,2,0),IF(C35="RND",VLOOKUP(E35,DIAMOND!$C$9:$D$102,2,0),IF(C35="MRQ",VLOOKUP(E35,DIAMOND!$T$40:$U$58,2,0),IF(C35="PRI",VLOOKUP(E35,DIAMOND!$N$9:$O$63,2,0),IF(C35="PRITRD",VLOOKUP(E35,DIAMOND!$N$9:$O$63,2,0),IF(C35="BUG",VLOOKUP(E35,DIAMOND!$H$9:$I$45,2,0),IF(C35="BUGTRD",VLOOKUP(E35,DIAMOND!$H$9:$I$45,2,0),IF(C35="TAPTRD",VLOOKUP(E35,DIAMOND!$H$9:$I$45,2,0),IF(C35="TAP",VLOOKUP(E35,DIAMOND!$H$9:$I$45,2,0),IF(C35="PRS",VLOOKUP(E35,DIAMOND!$T$9:$U$35,2,0),IF(C35="OVL",VLOOKUP(E35,DIAMOND!$T$64:$U$82,2,0),IF(C35="EMR",VLOOKUP(E35,DIAMOND!$N$69:$O$83,2,0),0))))))))))))</f>
        <v>0</v>
      </c>
      <c r="G35" s="59"/>
      <c r="H35" s="56">
        <f t="shared" si="0"/>
        <v>0</v>
      </c>
      <c r="P35" s="296"/>
      <c r="Q35" s="296"/>
      <c r="R35" s="296"/>
      <c r="S35" s="296"/>
    </row>
    <row r="36" spans="3:19" ht="15" hidden="1" customHeight="1">
      <c r="C36" s="372"/>
      <c r="D36" s="55">
        <f>IF(C36="RNDTRD",INDEX(DIAMOND!$B$9:$C$102,MATCH(E36,DIAMOND!$C$9:$C$102,0),1),IF(C36="RND",INDEX(DIAMOND!$B$9:$C$102,MATCH(E36,DIAMOND!$C$9:$C$102,0),1),IF(C36="PRI",INDEX(DIAMOND!$M$9:$N$63,MATCH(E36,DIAMOND!$N$9:$N$63,0),1),IF(C36="MRQ",INDEX(DIAMOND!$S$40:$T$58,MATCH(E36,DIAMOND!$T$40:$T$58,0),1),IF(C36="PRS",INDEX(DIAMOND!$S$9:$T$35,MATCH(E36,DIAMOND!$T$9:$T$63,0),1),0)))))</f>
        <v>0</v>
      </c>
      <c r="E36" s="220"/>
      <c r="F36" s="2">
        <f>IF(C36="RNDTRD",VLOOKUP(E36,DIAMOND!$C$9:$D$102,2,0),IF(C36="RND",VLOOKUP(E36,DIAMOND!$C$9:$D$102,2,0),IF(C36="MRQ",VLOOKUP(E36,DIAMOND!$T$40:$U$58,2,0),IF(C36="PRI",VLOOKUP(E36,DIAMOND!$N$9:$O$63,2,0),IF(C36="PRITRD",VLOOKUP(E36,DIAMOND!$N$9:$O$63,2,0),IF(C36="BUG",VLOOKUP(E36,DIAMOND!$H$9:$I$45,2,0),IF(C36="BUGTRD",VLOOKUP(E36,DIAMOND!$H$9:$I$45,2,0),IF(C36="TAPTRD",VLOOKUP(E36,DIAMOND!$H$9:$I$45,2,0),IF(C36="TAP",VLOOKUP(E36,DIAMOND!$H$9:$I$45,2,0),IF(C36="PRS",VLOOKUP(E36,DIAMOND!$T$9:$U$35,2,0),IF(C36="OVL",VLOOKUP(E36,DIAMOND!$T$64:$U$82,2,0),IF(C36="EMR",VLOOKUP(E36,DIAMOND!$N$69:$O$83,2,0),0))))))))))))</f>
        <v>0</v>
      </c>
      <c r="G36" s="59"/>
      <c r="H36" s="56">
        <f t="shared" si="0"/>
        <v>0</v>
      </c>
      <c r="P36" s="296"/>
      <c r="Q36" s="296"/>
      <c r="R36" s="296"/>
      <c r="S36" s="296"/>
    </row>
    <row r="37" spans="3:19" ht="15" hidden="1" customHeight="1">
      <c r="C37" s="372"/>
      <c r="D37" s="55">
        <f>IF(C37="RNDTRD",INDEX(DIAMOND!$B$9:$C$102,MATCH(E37,DIAMOND!$C$9:$C$102,0),1),IF(C37="RND",INDEX(DIAMOND!$B$9:$C$102,MATCH(E37,DIAMOND!$C$9:$C$102,0),1),IF(C37="PRI",INDEX(DIAMOND!$M$9:$N$63,MATCH(E37,DIAMOND!$N$9:$N$63,0),1),IF(C37="MRQ",INDEX(DIAMOND!$S$40:$T$58,MATCH(E37,DIAMOND!$T$40:$T$58,0),1),IF(C37="PRS",INDEX(DIAMOND!$S$9:$T$35,MATCH(E37,DIAMOND!$T$9:$T$63,0),1),0)))))</f>
        <v>0</v>
      </c>
      <c r="E37" s="220"/>
      <c r="F37" s="2">
        <f>IF(C37="RNDTRD",VLOOKUP(E37,DIAMOND!$C$9:$D$102,2,0),IF(C37="RND",VLOOKUP(E37,DIAMOND!$C$9:$D$102,2,0),IF(C37="MRQ",VLOOKUP(E37,DIAMOND!$T$40:$U$58,2,0),IF(C37="PRI",VLOOKUP(E37,DIAMOND!$N$9:$O$63,2,0),IF(C37="PRITRD",VLOOKUP(E37,DIAMOND!$N$9:$O$63,2,0),IF(C37="BUG",VLOOKUP(E37,DIAMOND!$H$9:$I$45,2,0),IF(C37="BUGTRD",VLOOKUP(E37,DIAMOND!$H$9:$I$45,2,0),IF(C37="TAPTRD",VLOOKUP(E37,DIAMOND!$H$9:$I$45,2,0),IF(C37="TAP",VLOOKUP(E37,DIAMOND!$H$9:$I$45,2,0),IF(C37="PRS",VLOOKUP(E37,DIAMOND!$T$9:$U$35,2,0),IF(C37="OVL",VLOOKUP(E37,DIAMOND!$T$64:$U$82,2,0),IF(C37="EMR",VLOOKUP(E37,DIAMOND!$N$69:$O$83,2,0),0))))))))))))</f>
        <v>0</v>
      </c>
      <c r="G37" s="59"/>
      <c r="H37" s="56">
        <f t="shared" si="0"/>
        <v>0</v>
      </c>
      <c r="P37" s="296"/>
      <c r="Q37" s="296"/>
      <c r="R37" s="296"/>
      <c r="S37" s="296"/>
    </row>
    <row r="38" spans="3:19" ht="15.75" hidden="1" customHeight="1" thickBot="1">
      <c r="C38" s="372"/>
      <c r="D38" s="55">
        <f>IF(C38="RNDTRD",INDEX(DIAMOND!$B$9:$C$102,MATCH(E38,DIAMOND!$C$9:$C$102,0),1),IF(C38="RND",INDEX(DIAMOND!$B$9:$C$102,MATCH(E38,DIAMOND!$C$9:$C$102,0),1),IF(C38="PRI",INDEX(DIAMOND!$M$9:$N$63,MATCH(E38,DIAMOND!$N$9:$N$63,0),1),IF(C38="MRQ",INDEX(DIAMOND!$S$40:$T$58,MATCH(E38,DIAMOND!$T$40:$T$58,0),1),IF(C38="PRS",INDEX(DIAMOND!$S$9:$T$35,MATCH(E38,DIAMOND!$T$9:$T$63,0),1),0)))))</f>
        <v>0</v>
      </c>
      <c r="E38" s="220"/>
      <c r="F38" s="2">
        <f>IF(C38="RNDTRD",VLOOKUP(E38,DIAMOND!$C$9:$D$102,2,0),IF(C38="RND",VLOOKUP(E38,DIAMOND!$C$9:$D$102,2,0),IF(C38="MRQ",VLOOKUP(E38,DIAMOND!$T$40:$U$58,2,0),IF(C38="PRI",VLOOKUP(E38,DIAMOND!$N$9:$O$63,2,0),IF(C38="PRITRD",VLOOKUP(E38,DIAMOND!$N$9:$O$63,2,0),IF(C38="BUG",VLOOKUP(E38,DIAMOND!$H$9:$I$45,2,0),IF(C38="BUGTRD",VLOOKUP(E38,DIAMOND!$H$9:$I$45,2,0),IF(C38="TAPTRD",VLOOKUP(E38,DIAMOND!$H$9:$I$45,2,0),IF(C38="TAP",VLOOKUP(E38,DIAMOND!$H$9:$I$45,2,0),IF(C38="PRS",VLOOKUP(E38,DIAMOND!$T$9:$U$35,2,0),IF(C38="OVL",VLOOKUP(E38,DIAMOND!$T$64:$U$82,2,0),IF(C38="EMR",VLOOKUP(E38,DIAMOND!$N$69:$O$83,2,0),0))))))))))))</f>
        <v>0</v>
      </c>
      <c r="G38" s="108"/>
      <c r="H38" s="56">
        <f t="shared" si="0"/>
        <v>0</v>
      </c>
      <c r="P38" s="296"/>
      <c r="Q38" s="296"/>
      <c r="R38" s="296"/>
      <c r="S38" s="296"/>
    </row>
    <row r="39" spans="3:19" ht="18.75" customHeight="1" thickBot="1">
      <c r="C39" s="497" t="s">
        <v>26</v>
      </c>
      <c r="D39" s="498"/>
      <c r="E39" s="498"/>
      <c r="F39" s="498"/>
      <c r="G39" s="373">
        <f>SUMIF(G9:G38,"&gt;0",G9:G38)</f>
        <v>31</v>
      </c>
      <c r="H39" s="374">
        <f>SUMIF(H9:H38,"&gt;0",H9:H38)</f>
        <v>1.42</v>
      </c>
      <c r="M39" s="295"/>
      <c r="P39" s="296"/>
      <c r="Q39" s="296"/>
      <c r="R39" s="296"/>
      <c r="S39" s="296"/>
    </row>
    <row r="40" spans="3:19" ht="15" customHeight="1">
      <c r="M40" s="294"/>
      <c r="P40" s="296"/>
      <c r="Q40" s="296"/>
      <c r="R40" s="296"/>
      <c r="S40" s="296"/>
    </row>
    <row r="41" spans="3:19">
      <c r="L41" s="364"/>
      <c r="M41" s="294"/>
      <c r="P41" s="219"/>
      <c r="Q41" s="219"/>
      <c r="R41" s="219"/>
      <c r="S41" s="219"/>
    </row>
    <row r="42" spans="3:19">
      <c r="M42" s="294"/>
      <c r="P42" s="219"/>
      <c r="Q42" s="219"/>
      <c r="R42" s="219"/>
      <c r="S42" s="219"/>
    </row>
  </sheetData>
  <sheetProtection password="CA55" sheet="1" objects="1" scenarios="1" formatCells="0" formatColumns="0" formatRows="0" insertColumns="0" insertRows="0" insertHyperlinks="0" deleteColumns="0" deleteRows="0" sort="0" autoFilter="0" pivotTables="0"/>
  <mergeCells count="9">
    <mergeCell ref="C3:H3"/>
    <mergeCell ref="C5:C7"/>
    <mergeCell ref="P5:S5"/>
    <mergeCell ref="H5:H7"/>
    <mergeCell ref="C39:F39"/>
    <mergeCell ref="C4:D4"/>
    <mergeCell ref="F4:G4"/>
    <mergeCell ref="D7:E7"/>
    <mergeCell ref="F7:G7"/>
  </mergeCells>
  <conditionalFormatting sqref="C4:H6 F8:H39 E8:E9 E11:E39 C8:D39">
    <cfRule type="containsErrors" dxfId="15" priority="24">
      <formula>ISERROR(C4)</formula>
    </cfRule>
  </conditionalFormatting>
  <conditionalFormatting sqref="K4">
    <cfRule type="cellIs" dxfId="14" priority="2" operator="greaterThan">
      <formula>18</formula>
    </cfRule>
    <cfRule type="cellIs" dxfId="13" priority="4" operator="greaterThan">
      <formula>15.01</formula>
    </cfRule>
    <cfRule type="cellIs" dxfId="12" priority="5" operator="between">
      <formula>0</formula>
      <formula>15</formula>
    </cfRule>
  </conditionalFormatting>
  <conditionalFormatting sqref="K5:K6">
    <cfRule type="cellIs" dxfId="11" priority="1" operator="greaterThan">
      <formula>0.2</formula>
    </cfRule>
    <cfRule type="cellIs" dxfId="10" priority="3" operator="greaterThan">
      <formula>0.156</formula>
    </cfRule>
    <cfRule type="cellIs" dxfId="9" priority="6" operator="between">
      <formula>0</formula>
      <formula>0.15</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3"/>
  <sheetViews>
    <sheetView topLeftCell="N57" workbookViewId="0">
      <selection activeCell="T61" sqref="T61:W61"/>
    </sheetView>
  </sheetViews>
  <sheetFormatPr defaultRowHeight="15"/>
  <cols>
    <col min="1" max="1" width="3.7109375" style="221" customWidth="1"/>
    <col min="2" max="2" width="13.28515625" style="221" bestFit="1" customWidth="1"/>
    <col min="3" max="3" width="11.7109375" style="221" bestFit="1" customWidth="1"/>
    <col min="4" max="4" width="10" style="221" bestFit="1" customWidth="1"/>
    <col min="5" max="5" width="10.5703125" style="222" customWidth="1"/>
    <col min="6" max="6" width="11.140625" style="221" customWidth="1"/>
    <col min="7" max="7" width="3.7109375" style="221" customWidth="1"/>
    <col min="8" max="8" width="10.85546875" style="221" bestFit="1" customWidth="1"/>
    <col min="9" max="9" width="10" style="221" bestFit="1" customWidth="1"/>
    <col min="10" max="10" width="9.140625" style="221"/>
    <col min="11" max="11" width="10.28515625" style="221" customWidth="1"/>
    <col min="12" max="12" width="3.7109375" style="221" customWidth="1"/>
    <col min="13" max="13" width="12.140625" style="221" bestFit="1" customWidth="1"/>
    <col min="14" max="14" width="11.28515625" style="221" bestFit="1" customWidth="1"/>
    <col min="15" max="16" width="9.140625" style="221" customWidth="1"/>
    <col min="17" max="17" width="9.140625" style="221"/>
    <col min="18" max="18" width="3.7109375" style="221" customWidth="1"/>
    <col min="19" max="19" width="11.85546875" style="223" bestFit="1" customWidth="1"/>
    <col min="20" max="20" width="10.85546875" style="221" bestFit="1" customWidth="1"/>
    <col min="21" max="21" width="9.28515625" style="221" bestFit="1" customWidth="1"/>
    <col min="22" max="22" width="9.140625" style="221" customWidth="1"/>
    <col min="23" max="32" width="9.140625" style="221"/>
    <col min="33" max="33" width="16.7109375" style="221" bestFit="1" customWidth="1"/>
    <col min="34" max="16384" width="9.140625" style="221"/>
  </cols>
  <sheetData>
    <row r="1" spans="1:23" ht="15.75" thickBot="1"/>
    <row r="2" spans="1:23" ht="15" customHeight="1">
      <c r="B2" s="224" t="s">
        <v>27</v>
      </c>
      <c r="C2" s="225"/>
      <c r="D2" s="225"/>
      <c r="E2" s="509" t="s">
        <v>28</v>
      </c>
      <c r="F2" s="509"/>
      <c r="G2" s="509"/>
      <c r="H2" s="509"/>
      <c r="I2" s="509"/>
      <c r="J2" s="509"/>
      <c r="K2" s="509"/>
      <c r="L2" s="509"/>
      <c r="M2" s="509"/>
      <c r="N2" s="509"/>
      <c r="O2" s="509"/>
      <c r="P2" s="509"/>
      <c r="Q2" s="509"/>
      <c r="R2" s="509"/>
      <c r="S2" s="509"/>
      <c r="T2" s="509"/>
      <c r="U2" s="509"/>
      <c r="V2" s="509"/>
      <c r="W2" s="510"/>
    </row>
    <row r="3" spans="1:23" ht="15.75" customHeight="1" thickBot="1">
      <c r="B3" s="226" t="s">
        <v>29</v>
      </c>
      <c r="C3" s="227"/>
      <c r="D3" s="227"/>
      <c r="E3" s="511"/>
      <c r="F3" s="511"/>
      <c r="G3" s="511"/>
      <c r="H3" s="511"/>
      <c r="I3" s="511"/>
      <c r="J3" s="511"/>
      <c r="K3" s="511"/>
      <c r="L3" s="511"/>
      <c r="M3" s="511"/>
      <c r="N3" s="511"/>
      <c r="O3" s="511"/>
      <c r="P3" s="511"/>
      <c r="Q3" s="511"/>
      <c r="R3" s="511"/>
      <c r="S3" s="511"/>
      <c r="T3" s="511"/>
      <c r="U3" s="511"/>
      <c r="V3" s="511"/>
      <c r="W3" s="512"/>
    </row>
    <row r="4" spans="1:23" ht="15.75" customHeight="1" thickBot="1">
      <c r="B4" s="28"/>
      <c r="C4" s="228" t="s">
        <v>30</v>
      </c>
      <c r="D4" s="28"/>
      <c r="E4" s="142"/>
      <c r="F4" s="228" t="s">
        <v>31</v>
      </c>
      <c r="G4" s="229"/>
      <c r="H4" s="229"/>
      <c r="I4" s="229"/>
      <c r="J4" s="229"/>
      <c r="K4" s="229"/>
      <c r="L4" s="229"/>
      <c r="M4" s="229"/>
      <c r="N4" s="229"/>
      <c r="O4" s="229"/>
      <c r="P4" s="229"/>
      <c r="Q4" s="229"/>
      <c r="R4" s="229"/>
      <c r="S4" s="230"/>
      <c r="T4" s="229"/>
      <c r="U4" s="229"/>
      <c r="V4" s="229"/>
      <c r="W4" s="229"/>
    </row>
    <row r="5" spans="1:23" s="231" customFormat="1" ht="24.95" customHeight="1" thickBot="1">
      <c r="B5" s="232"/>
      <c r="C5" s="233">
        <f>SUM(J64)</f>
        <v>0</v>
      </c>
      <c r="D5" s="513" t="s">
        <v>32</v>
      </c>
      <c r="E5" s="514"/>
      <c r="F5" s="234">
        <f>K64</f>
        <v>0</v>
      </c>
      <c r="H5" s="232"/>
      <c r="I5" s="232"/>
      <c r="J5" s="232"/>
      <c r="K5" s="232"/>
      <c r="M5" s="232"/>
      <c r="N5" s="232"/>
      <c r="O5" s="232"/>
      <c r="P5" s="232"/>
      <c r="Q5" s="232"/>
      <c r="S5" s="235"/>
      <c r="T5" s="232"/>
      <c r="U5" s="232"/>
      <c r="V5" s="232"/>
      <c r="W5" s="232"/>
    </row>
    <row r="6" spans="1:23" ht="15.75" customHeight="1" thickBot="1">
      <c r="B6" s="515" t="s">
        <v>33</v>
      </c>
      <c r="C6" s="516"/>
      <c r="D6" s="516"/>
      <c r="E6" s="516"/>
      <c r="F6" s="517"/>
      <c r="H6" s="518" t="s">
        <v>34</v>
      </c>
      <c r="I6" s="519"/>
      <c r="J6" s="519"/>
      <c r="K6" s="520"/>
      <c r="M6" s="518" t="s">
        <v>35</v>
      </c>
      <c r="N6" s="519"/>
      <c r="O6" s="519"/>
      <c r="P6" s="519"/>
      <c r="Q6" s="520"/>
      <c r="S6" s="518" t="s">
        <v>36</v>
      </c>
      <c r="T6" s="519"/>
      <c r="U6" s="519"/>
      <c r="V6" s="519"/>
      <c r="W6" s="520"/>
    </row>
    <row r="7" spans="1:23" ht="15.75" customHeight="1" thickBot="1">
      <c r="B7" s="24"/>
      <c r="C7" s="25"/>
      <c r="D7" s="24"/>
      <c r="E7" s="23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222"/>
      <c r="M8" s="31" t="s">
        <v>18</v>
      </c>
      <c r="N8" s="31" t="s">
        <v>37</v>
      </c>
      <c r="O8" s="31" t="s">
        <v>22</v>
      </c>
      <c r="P8" s="31" t="s">
        <v>21</v>
      </c>
      <c r="Q8" s="31" t="s">
        <v>32</v>
      </c>
      <c r="S8" s="237" t="s">
        <v>38</v>
      </c>
      <c r="T8" s="33" t="s">
        <v>37</v>
      </c>
      <c r="U8" s="33" t="s">
        <v>22</v>
      </c>
      <c r="V8" s="33" t="s">
        <v>21</v>
      </c>
      <c r="W8" s="34" t="s">
        <v>32</v>
      </c>
    </row>
    <row r="9" spans="1:23" ht="15.75" customHeight="1">
      <c r="B9" s="35" t="s">
        <v>39</v>
      </c>
      <c r="C9" s="36">
        <v>0.8</v>
      </c>
      <c r="D9" s="37">
        <v>3.0000000000000001E-3</v>
      </c>
      <c r="E9" s="37"/>
      <c r="F9" s="39">
        <f>E9*D9</f>
        <v>0</v>
      </c>
      <c r="G9" s="238"/>
      <c r="H9" s="41">
        <v>1</v>
      </c>
      <c r="I9" s="42">
        <v>3.0000000000000001E-3</v>
      </c>
      <c r="J9" s="239"/>
      <c r="K9" s="44">
        <f>J9*I9</f>
        <v>0</v>
      </c>
      <c r="L9" s="222"/>
      <c r="M9" s="45" t="s">
        <v>40</v>
      </c>
      <c r="N9" s="46">
        <v>0.9</v>
      </c>
      <c r="O9" s="47">
        <v>5.0000000000000001E-3</v>
      </c>
      <c r="P9" s="47"/>
      <c r="Q9" s="44">
        <f>P9*O9</f>
        <v>0</v>
      </c>
      <c r="R9" s="238"/>
      <c r="S9" s="240" t="s">
        <v>40</v>
      </c>
      <c r="T9" s="241" t="s">
        <v>41</v>
      </c>
      <c r="U9" s="242">
        <v>0.05</v>
      </c>
      <c r="V9" s="239"/>
      <c r="W9" s="52">
        <f>U9*V9</f>
        <v>0</v>
      </c>
    </row>
    <row r="10" spans="1:23" ht="15.75" customHeight="1">
      <c r="A10" s="243"/>
      <c r="B10" s="54" t="s">
        <v>42</v>
      </c>
      <c r="C10" s="1">
        <v>0.9</v>
      </c>
      <c r="D10" s="55">
        <v>4.0000000000000001E-3</v>
      </c>
      <c r="E10" s="55"/>
      <c r="F10" s="56">
        <f t="shared" ref="F10:F23" si="0">E10*D10</f>
        <v>0</v>
      </c>
      <c r="G10" s="238"/>
      <c r="H10" s="5">
        <v>1.1000000000000001</v>
      </c>
      <c r="I10" s="2">
        <v>4.0000000000000001E-3</v>
      </c>
      <c r="J10" s="79"/>
      <c r="K10" s="44">
        <f t="shared" ref="K10:K45" si="1">J10*I10</f>
        <v>0</v>
      </c>
      <c r="L10" s="222"/>
      <c r="M10" s="45" t="s">
        <v>40</v>
      </c>
      <c r="N10" s="1">
        <v>1</v>
      </c>
      <c r="O10" s="2">
        <v>6.1999999999999998E-3</v>
      </c>
      <c r="P10" s="55"/>
      <c r="Q10" s="44">
        <f t="shared" ref="Q10:Q62" si="2">P10*O10</f>
        <v>0</v>
      </c>
      <c r="R10" s="238"/>
      <c r="S10" s="244" t="s">
        <v>40</v>
      </c>
      <c r="T10" s="241" t="s">
        <v>43</v>
      </c>
      <c r="U10" s="242">
        <v>7.0000000000000007E-2</v>
      </c>
      <c r="V10" s="239"/>
      <c r="W10" s="52">
        <f>U10*V10</f>
        <v>0</v>
      </c>
    </row>
    <row r="11" spans="1:23" ht="15.75" customHeight="1">
      <c r="A11" s="243"/>
      <c r="B11" s="54" t="s">
        <v>44</v>
      </c>
      <c r="C11" s="1">
        <v>1</v>
      </c>
      <c r="D11" s="55">
        <v>5.0000000000000001E-3</v>
      </c>
      <c r="E11" s="55"/>
      <c r="F11" s="56">
        <f t="shared" si="0"/>
        <v>0</v>
      </c>
      <c r="G11" s="238"/>
      <c r="H11" s="5">
        <v>1.2</v>
      </c>
      <c r="I11" s="2">
        <v>5.0000000000000001E-3</v>
      </c>
      <c r="J11" s="79"/>
      <c r="K11" s="44">
        <f t="shared" si="1"/>
        <v>0</v>
      </c>
      <c r="L11" s="222"/>
      <c r="M11" s="45" t="s">
        <v>40</v>
      </c>
      <c r="N11" s="1">
        <v>1.1000000000000001</v>
      </c>
      <c r="O11" s="2">
        <v>8.0000000000000002E-3</v>
      </c>
      <c r="P11" s="55"/>
      <c r="Q11" s="44">
        <f t="shared" si="2"/>
        <v>0</v>
      </c>
      <c r="R11" s="243"/>
      <c r="S11" s="245" t="s">
        <v>40</v>
      </c>
      <c r="T11" s="241" t="s">
        <v>45</v>
      </c>
      <c r="U11" s="242">
        <v>0.08</v>
      </c>
      <c r="V11" s="239"/>
      <c r="W11" s="52">
        <f>U11*V11</f>
        <v>0</v>
      </c>
    </row>
    <row r="12" spans="1:23" ht="15.75" customHeight="1">
      <c r="A12" s="243"/>
      <c r="B12" s="54" t="s">
        <v>46</v>
      </c>
      <c r="C12" s="1">
        <v>1.1000000000000001</v>
      </c>
      <c r="D12" s="2">
        <v>6.0000000000000001E-3</v>
      </c>
      <c r="E12" s="55"/>
      <c r="F12" s="56">
        <f t="shared" si="0"/>
        <v>0</v>
      </c>
      <c r="G12" s="238"/>
      <c r="H12" s="5">
        <v>1.3</v>
      </c>
      <c r="I12" s="2">
        <v>6.0000000000000001E-3</v>
      </c>
      <c r="J12" s="79"/>
      <c r="K12" s="44">
        <f t="shared" si="1"/>
        <v>0</v>
      </c>
      <c r="L12" s="222"/>
      <c r="M12" s="45" t="s">
        <v>40</v>
      </c>
      <c r="N12" s="1">
        <v>1.1499999999999999</v>
      </c>
      <c r="O12" s="2">
        <v>8.9999999999999993E-3</v>
      </c>
      <c r="P12" s="55"/>
      <c r="Q12" s="44">
        <f t="shared" si="2"/>
        <v>0</v>
      </c>
      <c r="R12" s="243"/>
      <c r="S12" s="87" t="s">
        <v>40</v>
      </c>
      <c r="T12" s="246" t="s">
        <v>47</v>
      </c>
      <c r="U12" s="247">
        <v>0.09</v>
      </c>
      <c r="V12" s="79"/>
      <c r="W12" s="52">
        <f t="shared" ref="W12:W35" si="3">U12*V12</f>
        <v>0</v>
      </c>
    </row>
    <row r="13" spans="1:23" ht="15.75" customHeight="1">
      <c r="A13" s="248"/>
      <c r="B13" s="54" t="s">
        <v>48</v>
      </c>
      <c r="C13" s="1">
        <v>1.1499999999999999</v>
      </c>
      <c r="D13" s="2">
        <v>7.0000000000000001E-3</v>
      </c>
      <c r="E13" s="55"/>
      <c r="F13" s="56">
        <f t="shared" si="0"/>
        <v>0</v>
      </c>
      <c r="G13" s="243"/>
      <c r="H13" s="5">
        <v>1.4</v>
      </c>
      <c r="I13" s="2">
        <v>7.0000000000000001E-3</v>
      </c>
      <c r="J13" s="79"/>
      <c r="K13" s="44">
        <f t="shared" si="1"/>
        <v>0</v>
      </c>
      <c r="L13" s="222"/>
      <c r="M13" s="45" t="s">
        <v>40</v>
      </c>
      <c r="N13" s="1">
        <v>1.2</v>
      </c>
      <c r="O13" s="2">
        <v>0.01</v>
      </c>
      <c r="P13" s="55"/>
      <c r="Q13" s="44">
        <f t="shared" si="2"/>
        <v>0</v>
      </c>
      <c r="S13" s="87" t="s">
        <v>40</v>
      </c>
      <c r="T13" s="249" t="s">
        <v>49</v>
      </c>
      <c r="U13" s="250">
        <v>0.14000000000000001</v>
      </c>
      <c r="V13" s="79"/>
      <c r="W13" s="52">
        <f t="shared" si="3"/>
        <v>0</v>
      </c>
    </row>
    <row r="14" spans="1:23" ht="15.75" customHeight="1">
      <c r="A14" s="248"/>
      <c r="B14" s="54" t="s">
        <v>50</v>
      </c>
      <c r="C14" s="1">
        <v>1.2</v>
      </c>
      <c r="D14" s="2">
        <v>8.0000000000000002E-3</v>
      </c>
      <c r="E14" s="55"/>
      <c r="F14" s="56">
        <f t="shared" si="0"/>
        <v>0</v>
      </c>
      <c r="G14" s="243"/>
      <c r="H14" s="5">
        <v>1.5</v>
      </c>
      <c r="I14" s="2">
        <v>8.0000000000000002E-3</v>
      </c>
      <c r="J14" s="79"/>
      <c r="K14" s="44">
        <f t="shared" si="1"/>
        <v>0</v>
      </c>
      <c r="L14" s="222"/>
      <c r="M14" s="45" t="s">
        <v>40</v>
      </c>
      <c r="N14" s="1">
        <v>1.25</v>
      </c>
      <c r="O14" s="2">
        <v>1.2E-2</v>
      </c>
      <c r="P14" s="55"/>
      <c r="Q14" s="44">
        <f t="shared" si="2"/>
        <v>0</v>
      </c>
      <c r="S14" s="87" t="s">
        <v>40</v>
      </c>
      <c r="T14" s="249" t="s">
        <v>51</v>
      </c>
      <c r="U14" s="250">
        <v>0.15</v>
      </c>
      <c r="V14" s="79"/>
      <c r="W14" s="52">
        <f t="shared" si="3"/>
        <v>0</v>
      </c>
    </row>
    <row r="15" spans="1:23" ht="15.75" customHeight="1">
      <c r="A15" s="248"/>
      <c r="B15" s="54" t="s">
        <v>52</v>
      </c>
      <c r="C15" s="1">
        <v>1.25</v>
      </c>
      <c r="D15" s="2">
        <v>8.9999999999999993E-3</v>
      </c>
      <c r="E15" s="55"/>
      <c r="F15" s="56">
        <f t="shared" si="0"/>
        <v>0</v>
      </c>
      <c r="G15" s="243"/>
      <c r="H15" s="67" t="s">
        <v>53</v>
      </c>
      <c r="I15" s="68">
        <v>8.9999999999999993E-3</v>
      </c>
      <c r="J15" s="79"/>
      <c r="K15" s="44">
        <f t="shared" si="1"/>
        <v>0</v>
      </c>
      <c r="L15" s="222"/>
      <c r="M15" s="45" t="s">
        <v>40</v>
      </c>
      <c r="N15" s="1">
        <v>1.3</v>
      </c>
      <c r="O15" s="2">
        <v>1.7000000000000001E-2</v>
      </c>
      <c r="P15" s="55"/>
      <c r="Q15" s="44">
        <f t="shared" si="2"/>
        <v>0</v>
      </c>
      <c r="R15" s="243"/>
      <c r="S15" s="87" t="s">
        <v>40</v>
      </c>
      <c r="T15" s="249" t="s">
        <v>54</v>
      </c>
      <c r="U15" s="250">
        <v>0.2</v>
      </c>
      <c r="V15" s="79"/>
      <c r="W15" s="52">
        <f t="shared" si="3"/>
        <v>0</v>
      </c>
    </row>
    <row r="16" spans="1:23" ht="15.75" customHeight="1">
      <c r="A16" s="248"/>
      <c r="B16" s="54" t="s">
        <v>55</v>
      </c>
      <c r="C16" s="1">
        <v>1.3</v>
      </c>
      <c r="D16" s="2">
        <v>0.01</v>
      </c>
      <c r="E16" s="55"/>
      <c r="F16" s="56">
        <f t="shared" si="0"/>
        <v>0</v>
      </c>
      <c r="G16" s="248"/>
      <c r="H16" s="67" t="s">
        <v>56</v>
      </c>
      <c r="I16" s="68">
        <v>0.01</v>
      </c>
      <c r="J16" s="79"/>
      <c r="K16" s="44">
        <f t="shared" si="1"/>
        <v>0</v>
      </c>
      <c r="L16" s="222"/>
      <c r="M16" s="45" t="s">
        <v>40</v>
      </c>
      <c r="N16" s="55">
        <v>1.35</v>
      </c>
      <c r="O16" s="2">
        <v>1.7999999999999999E-2</v>
      </c>
      <c r="P16" s="55"/>
      <c r="Q16" s="44">
        <f t="shared" si="2"/>
        <v>0</v>
      </c>
      <c r="R16" s="243"/>
      <c r="S16" s="87" t="s">
        <v>40</v>
      </c>
      <c r="T16" s="249" t="s">
        <v>57</v>
      </c>
      <c r="U16" s="250">
        <v>0.23</v>
      </c>
      <c r="V16" s="79"/>
      <c r="W16" s="52">
        <f t="shared" si="3"/>
        <v>0</v>
      </c>
    </row>
    <row r="17" spans="1:23" ht="15.75" customHeight="1">
      <c r="A17" s="243"/>
      <c r="B17" s="54" t="s">
        <v>58</v>
      </c>
      <c r="C17" s="1">
        <v>1.35</v>
      </c>
      <c r="D17" s="2">
        <v>1.0999999999999999E-2</v>
      </c>
      <c r="E17" s="55"/>
      <c r="F17" s="56">
        <f t="shared" si="0"/>
        <v>0</v>
      </c>
      <c r="G17" s="238"/>
      <c r="H17" s="67" t="s">
        <v>59</v>
      </c>
      <c r="I17" s="68">
        <v>1.2E-2</v>
      </c>
      <c r="J17" s="79"/>
      <c r="K17" s="44">
        <f t="shared" si="1"/>
        <v>0</v>
      </c>
      <c r="L17" s="222"/>
      <c r="M17" s="45" t="s">
        <v>40</v>
      </c>
      <c r="N17" s="1">
        <v>1.4</v>
      </c>
      <c r="O17" s="2">
        <v>1.9E-2</v>
      </c>
      <c r="P17" s="55"/>
      <c r="Q17" s="44">
        <f t="shared" si="2"/>
        <v>0</v>
      </c>
      <c r="R17" s="243"/>
      <c r="S17" s="87" t="s">
        <v>40</v>
      </c>
      <c r="T17" s="249" t="s">
        <v>60</v>
      </c>
      <c r="U17" s="250">
        <v>0.25</v>
      </c>
      <c r="V17" s="79"/>
      <c r="W17" s="52">
        <f t="shared" si="3"/>
        <v>0</v>
      </c>
    </row>
    <row r="18" spans="1:23" ht="15.75" customHeight="1">
      <c r="A18" s="243"/>
      <c r="B18" s="54" t="s">
        <v>61</v>
      </c>
      <c r="C18" s="1">
        <v>1.4</v>
      </c>
      <c r="D18" s="2">
        <v>1.2E-2</v>
      </c>
      <c r="E18" s="55"/>
      <c r="F18" s="56">
        <f t="shared" si="0"/>
        <v>0</v>
      </c>
      <c r="G18" s="238"/>
      <c r="H18" s="67" t="s">
        <v>62</v>
      </c>
      <c r="I18" s="68">
        <v>1.4E-2</v>
      </c>
      <c r="J18" s="79"/>
      <c r="K18" s="44">
        <f t="shared" si="1"/>
        <v>0</v>
      </c>
      <c r="L18" s="222"/>
      <c r="M18" s="45" t="s">
        <v>40</v>
      </c>
      <c r="N18" s="55">
        <v>1.45</v>
      </c>
      <c r="O18" s="2">
        <v>0.02</v>
      </c>
      <c r="P18" s="55"/>
      <c r="Q18" s="44">
        <f t="shared" si="2"/>
        <v>0</v>
      </c>
      <c r="R18" s="251"/>
      <c r="S18" s="87" t="s">
        <v>40</v>
      </c>
      <c r="T18" s="246" t="s">
        <v>63</v>
      </c>
      <c r="U18" s="250">
        <v>0.3</v>
      </c>
      <c r="V18" s="79"/>
      <c r="W18" s="52">
        <f t="shared" si="3"/>
        <v>0</v>
      </c>
    </row>
    <row r="19" spans="1:23" ht="15.75" customHeight="1">
      <c r="A19" s="248"/>
      <c r="B19" s="54" t="s">
        <v>64</v>
      </c>
      <c r="C19" s="1">
        <v>1.45</v>
      </c>
      <c r="D19" s="2">
        <v>1.4E-2</v>
      </c>
      <c r="E19" s="55"/>
      <c r="F19" s="56">
        <f t="shared" si="0"/>
        <v>0</v>
      </c>
      <c r="G19" s="243"/>
      <c r="H19" s="5" t="s">
        <v>65</v>
      </c>
      <c r="I19" s="2">
        <v>1.6E-2</v>
      </c>
      <c r="J19" s="79"/>
      <c r="K19" s="44">
        <f t="shared" si="1"/>
        <v>0</v>
      </c>
      <c r="L19" s="222"/>
      <c r="M19" s="45" t="s">
        <v>40</v>
      </c>
      <c r="N19" s="1">
        <v>1.5</v>
      </c>
      <c r="O19" s="2">
        <v>2.5000000000000001E-2</v>
      </c>
      <c r="P19" s="55"/>
      <c r="Q19" s="44">
        <f t="shared" si="2"/>
        <v>0</v>
      </c>
      <c r="R19" s="251"/>
      <c r="S19" s="87" t="s">
        <v>40</v>
      </c>
      <c r="T19" s="4" t="s">
        <v>66</v>
      </c>
      <c r="U19" s="4">
        <v>0.33</v>
      </c>
      <c r="V19" s="79"/>
      <c r="W19" s="52">
        <f t="shared" si="3"/>
        <v>0</v>
      </c>
    </row>
    <row r="20" spans="1:23" ht="15.75" customHeight="1">
      <c r="A20" s="248"/>
      <c r="B20" s="54" t="s">
        <v>67</v>
      </c>
      <c r="C20" s="1">
        <v>1.5</v>
      </c>
      <c r="D20" s="2">
        <v>1.4999999999999999E-2</v>
      </c>
      <c r="E20" s="55"/>
      <c r="F20" s="56">
        <f t="shared" si="0"/>
        <v>0</v>
      </c>
      <c r="G20" s="243"/>
      <c r="H20" s="5" t="s">
        <v>68</v>
      </c>
      <c r="I20" s="2">
        <v>1.9E-2</v>
      </c>
      <c r="J20" s="79"/>
      <c r="K20" s="44">
        <f t="shared" si="1"/>
        <v>0</v>
      </c>
      <c r="L20" s="222"/>
      <c r="M20" s="45" t="s">
        <v>40</v>
      </c>
      <c r="N20" s="55">
        <v>1.55</v>
      </c>
      <c r="O20" s="2">
        <v>2.3E-2</v>
      </c>
      <c r="P20" s="55"/>
      <c r="Q20" s="44">
        <f t="shared" si="2"/>
        <v>0</v>
      </c>
      <c r="R20" s="243"/>
      <c r="S20" s="87" t="s">
        <v>40</v>
      </c>
      <c r="T20" s="4" t="s">
        <v>69</v>
      </c>
      <c r="U20" s="4">
        <v>0.4</v>
      </c>
      <c r="V20" s="79"/>
      <c r="W20" s="52">
        <f t="shared" si="3"/>
        <v>0</v>
      </c>
    </row>
    <row r="21" spans="1:23" ht="15.75" customHeight="1">
      <c r="A21" s="243"/>
      <c r="B21" s="434" t="s">
        <v>70</v>
      </c>
      <c r="C21" s="435">
        <v>1.55</v>
      </c>
      <c r="D21" s="436">
        <v>1.6E-2</v>
      </c>
      <c r="E21" s="437"/>
      <c r="F21" s="438">
        <f t="shared" si="0"/>
        <v>0</v>
      </c>
      <c r="G21" s="243"/>
      <c r="H21" s="67" t="s">
        <v>71</v>
      </c>
      <c r="I21" s="68">
        <v>0.02</v>
      </c>
      <c r="J21" s="79"/>
      <c r="K21" s="44">
        <f t="shared" si="1"/>
        <v>0</v>
      </c>
      <c r="L21" s="222"/>
      <c r="M21" s="45" t="s">
        <v>40</v>
      </c>
      <c r="N21" s="1">
        <v>1.6</v>
      </c>
      <c r="O21" s="2">
        <v>0.03</v>
      </c>
      <c r="P21" s="55"/>
      <c r="Q21" s="44">
        <f t="shared" si="2"/>
        <v>0</v>
      </c>
      <c r="R21" s="243"/>
      <c r="S21" s="87" t="s">
        <v>40</v>
      </c>
      <c r="T21" s="4" t="s">
        <v>72</v>
      </c>
      <c r="U21" s="4">
        <v>0.45</v>
      </c>
      <c r="V21" s="79"/>
      <c r="W21" s="52">
        <f t="shared" si="3"/>
        <v>0</v>
      </c>
    </row>
    <row r="22" spans="1:23" ht="15.75" customHeight="1">
      <c r="A22" s="243"/>
      <c r="B22" s="54" t="s">
        <v>73</v>
      </c>
      <c r="C22" s="1">
        <v>1.6</v>
      </c>
      <c r="D22" s="2">
        <v>1.7999999999999999E-2</v>
      </c>
      <c r="E22" s="55"/>
      <c r="F22" s="56">
        <f t="shared" si="0"/>
        <v>0</v>
      </c>
      <c r="G22" s="238"/>
      <c r="H22" s="67" t="s">
        <v>74</v>
      </c>
      <c r="I22" s="68">
        <v>2.1000000000000001E-2</v>
      </c>
      <c r="J22" s="79"/>
      <c r="K22" s="44">
        <f t="shared" si="1"/>
        <v>0</v>
      </c>
      <c r="L22" s="222"/>
      <c r="M22" s="45" t="s">
        <v>40</v>
      </c>
      <c r="N22" s="1">
        <v>1.7</v>
      </c>
      <c r="O22" s="2">
        <v>3.5000000000000003E-2</v>
      </c>
      <c r="P22" s="55"/>
      <c r="Q22" s="44">
        <f t="shared" si="2"/>
        <v>0</v>
      </c>
      <c r="R22" s="243"/>
      <c r="S22" s="87" t="s">
        <v>40</v>
      </c>
      <c r="T22" s="4" t="s">
        <v>75</v>
      </c>
      <c r="U22" s="4">
        <v>0.5</v>
      </c>
      <c r="V22" s="79"/>
      <c r="W22" s="52">
        <f t="shared" si="3"/>
        <v>0</v>
      </c>
    </row>
    <row r="23" spans="1:23" ht="15.75" customHeight="1" thickBot="1">
      <c r="A23" s="243"/>
      <c r="B23" s="70" t="s">
        <v>76</v>
      </c>
      <c r="C23" s="71">
        <v>1.7</v>
      </c>
      <c r="D23" s="72">
        <v>0.02</v>
      </c>
      <c r="E23" s="252"/>
      <c r="F23" s="74">
        <f t="shared" si="0"/>
        <v>0</v>
      </c>
      <c r="G23" s="243"/>
      <c r="H23" s="67">
        <v>2.4</v>
      </c>
      <c r="I23" s="68">
        <v>2.3E-2</v>
      </c>
      <c r="J23" s="79"/>
      <c r="K23" s="44">
        <f t="shared" si="1"/>
        <v>0</v>
      </c>
      <c r="L23" s="222"/>
      <c r="M23" s="45" t="s">
        <v>40</v>
      </c>
      <c r="N23" s="1">
        <v>1.8</v>
      </c>
      <c r="O23" s="2">
        <v>0.04</v>
      </c>
      <c r="P23" s="55"/>
      <c r="Q23" s="44">
        <f t="shared" si="2"/>
        <v>0</v>
      </c>
      <c r="R23" s="243"/>
      <c r="S23" s="87" t="s">
        <v>40</v>
      </c>
      <c r="T23" s="4" t="s">
        <v>77</v>
      </c>
      <c r="U23" s="4">
        <v>0.6</v>
      </c>
      <c r="V23" s="79"/>
      <c r="W23" s="52">
        <f t="shared" si="3"/>
        <v>0</v>
      </c>
    </row>
    <row r="24" spans="1:23" ht="15.75" customHeight="1" thickBot="1">
      <c r="B24" s="75" t="s">
        <v>78</v>
      </c>
      <c r="C24" s="76"/>
      <c r="D24" s="77"/>
      <c r="F24" s="77"/>
      <c r="G24" s="243"/>
      <c r="H24" s="67">
        <v>2.5</v>
      </c>
      <c r="I24" s="68">
        <v>2.5000000000000001E-2</v>
      </c>
      <c r="J24" s="79"/>
      <c r="K24" s="44">
        <f t="shared" si="1"/>
        <v>0</v>
      </c>
      <c r="L24" s="222"/>
      <c r="M24" s="45" t="s">
        <v>40</v>
      </c>
      <c r="N24" s="1">
        <v>1.9</v>
      </c>
      <c r="O24" s="2">
        <v>4.4999999999999998E-2</v>
      </c>
      <c r="P24" s="55"/>
      <c r="Q24" s="44">
        <f t="shared" si="2"/>
        <v>0</v>
      </c>
      <c r="R24" s="243"/>
      <c r="S24" s="87" t="s">
        <v>40</v>
      </c>
      <c r="T24" s="4" t="s">
        <v>79</v>
      </c>
      <c r="U24" s="4">
        <v>0.7</v>
      </c>
      <c r="V24" s="79"/>
      <c r="W24" s="52">
        <f t="shared" si="3"/>
        <v>0</v>
      </c>
    </row>
    <row r="25" spans="1:23" ht="15.75" customHeight="1">
      <c r="A25" s="243"/>
      <c r="B25" s="35" t="s">
        <v>80</v>
      </c>
      <c r="C25" s="36">
        <v>1.8</v>
      </c>
      <c r="D25" s="78">
        <v>2.5000000000000001E-2</v>
      </c>
      <c r="E25" s="37"/>
      <c r="F25" s="39">
        <f t="shared" ref="F25:F85" si="4">E25*D25</f>
        <v>0</v>
      </c>
      <c r="G25" s="243"/>
      <c r="H25" s="67">
        <v>2.6</v>
      </c>
      <c r="I25" s="68">
        <v>2.9000000000000001E-2</v>
      </c>
      <c r="J25" s="79"/>
      <c r="K25" s="44">
        <f t="shared" si="1"/>
        <v>0</v>
      </c>
      <c r="L25" s="222"/>
      <c r="M25" s="45" t="s">
        <v>40</v>
      </c>
      <c r="N25" s="1">
        <v>2</v>
      </c>
      <c r="O25" s="2">
        <v>0.05</v>
      </c>
      <c r="P25" s="55"/>
      <c r="Q25" s="44">
        <f t="shared" si="2"/>
        <v>0</v>
      </c>
      <c r="R25" s="243"/>
      <c r="S25" s="87" t="s">
        <v>40</v>
      </c>
      <c r="T25" s="478" t="s">
        <v>81</v>
      </c>
      <c r="U25" s="478">
        <v>0.3</v>
      </c>
      <c r="V25" s="79"/>
      <c r="W25" s="52">
        <f t="shared" si="3"/>
        <v>0</v>
      </c>
    </row>
    <row r="26" spans="1:23" ht="15.75" customHeight="1">
      <c r="A26" s="243"/>
      <c r="B26" s="54" t="s">
        <v>82</v>
      </c>
      <c r="C26" s="1">
        <v>1.9</v>
      </c>
      <c r="D26" s="2">
        <v>0.03</v>
      </c>
      <c r="E26" s="55"/>
      <c r="F26" s="56">
        <f t="shared" si="4"/>
        <v>0</v>
      </c>
      <c r="G26" s="248"/>
      <c r="H26" s="67">
        <v>2.7</v>
      </c>
      <c r="I26" s="68">
        <v>3.2000000000000001E-2</v>
      </c>
      <c r="J26" s="79"/>
      <c r="K26" s="44">
        <f t="shared" si="1"/>
        <v>0</v>
      </c>
      <c r="L26" s="222"/>
      <c r="M26" s="45" t="s">
        <v>40</v>
      </c>
      <c r="N26" s="1">
        <v>2.1</v>
      </c>
      <c r="O26" s="2">
        <v>0.06</v>
      </c>
      <c r="P26" s="55"/>
      <c r="Q26" s="44">
        <f t="shared" si="2"/>
        <v>0</v>
      </c>
      <c r="R26" s="243"/>
      <c r="S26" s="87" t="s">
        <v>40</v>
      </c>
      <c r="T26" s="478" t="s">
        <v>75</v>
      </c>
      <c r="U26" s="478">
        <v>0.5</v>
      </c>
      <c r="V26" s="79"/>
      <c r="W26" s="52">
        <f t="shared" si="3"/>
        <v>0</v>
      </c>
    </row>
    <row r="27" spans="1:23" ht="15.75" customHeight="1">
      <c r="A27" s="243"/>
      <c r="B27" s="54" t="s">
        <v>83</v>
      </c>
      <c r="C27" s="1">
        <v>2</v>
      </c>
      <c r="D27" s="2">
        <v>3.5000000000000003E-2</v>
      </c>
      <c r="E27" s="55"/>
      <c r="F27" s="56">
        <f t="shared" si="4"/>
        <v>0</v>
      </c>
      <c r="G27" s="238"/>
      <c r="H27" s="5">
        <v>2.8</v>
      </c>
      <c r="I27" s="2">
        <v>3.5000000000000003E-2</v>
      </c>
      <c r="J27" s="79"/>
      <c r="K27" s="44">
        <f t="shared" si="1"/>
        <v>0</v>
      </c>
      <c r="L27" s="222"/>
      <c r="M27" s="45" t="s">
        <v>40</v>
      </c>
      <c r="N27" s="1">
        <v>2.2000000000000002</v>
      </c>
      <c r="O27" s="2">
        <v>7.0000000000000007E-2</v>
      </c>
      <c r="P27" s="55"/>
      <c r="Q27" s="44">
        <f t="shared" si="2"/>
        <v>0</v>
      </c>
      <c r="R27" s="243"/>
      <c r="S27" s="87" t="s">
        <v>40</v>
      </c>
      <c r="T27" s="478" t="s">
        <v>79</v>
      </c>
      <c r="U27" s="478">
        <v>0.7</v>
      </c>
      <c r="V27" s="79"/>
      <c r="W27" s="52">
        <f t="shared" si="3"/>
        <v>0</v>
      </c>
    </row>
    <row r="28" spans="1:23" ht="15.75" customHeight="1">
      <c r="A28" s="243"/>
      <c r="B28" s="54" t="s">
        <v>84</v>
      </c>
      <c r="C28" s="1">
        <v>2.1</v>
      </c>
      <c r="D28" s="2">
        <v>0.04</v>
      </c>
      <c r="E28" s="55"/>
      <c r="F28" s="56">
        <f t="shared" si="4"/>
        <v>0</v>
      </c>
      <c r="G28" s="243"/>
      <c r="H28" s="5">
        <v>2.9</v>
      </c>
      <c r="I28" s="2">
        <v>3.7999999999999999E-2</v>
      </c>
      <c r="J28" s="79"/>
      <c r="K28" s="44">
        <f t="shared" si="1"/>
        <v>0</v>
      </c>
      <c r="L28" s="222"/>
      <c r="M28" s="45" t="s">
        <v>40</v>
      </c>
      <c r="N28" s="1">
        <v>2.2999999999999998</v>
      </c>
      <c r="O28" s="2">
        <v>0.08</v>
      </c>
      <c r="P28" s="55"/>
      <c r="Q28" s="44">
        <f t="shared" si="2"/>
        <v>0</v>
      </c>
      <c r="R28" s="243"/>
      <c r="S28" s="87" t="s">
        <v>40</v>
      </c>
      <c r="T28" s="478" t="s">
        <v>85</v>
      </c>
      <c r="U28" s="478">
        <v>1</v>
      </c>
      <c r="V28" s="79"/>
      <c r="W28" s="52">
        <f t="shared" si="3"/>
        <v>0</v>
      </c>
    </row>
    <row r="29" spans="1:23" ht="15.75" customHeight="1">
      <c r="A29" s="243"/>
      <c r="B29" s="54" t="s">
        <v>86</v>
      </c>
      <c r="C29" s="1">
        <v>2.2000000000000002</v>
      </c>
      <c r="D29" s="2">
        <v>4.4999999999999998E-2</v>
      </c>
      <c r="E29" s="55"/>
      <c r="F29" s="56">
        <f t="shared" si="4"/>
        <v>0</v>
      </c>
      <c r="G29" s="243"/>
      <c r="H29" s="67">
        <v>3</v>
      </c>
      <c r="I29" s="68">
        <v>4.1000000000000002E-2</v>
      </c>
      <c r="J29" s="79"/>
      <c r="K29" s="44">
        <f t="shared" si="1"/>
        <v>0</v>
      </c>
      <c r="L29" s="222"/>
      <c r="M29" s="45" t="s">
        <v>40</v>
      </c>
      <c r="N29" s="1">
        <v>2.4</v>
      </c>
      <c r="O29" s="2">
        <v>0.09</v>
      </c>
      <c r="P29" s="55"/>
      <c r="Q29" s="44">
        <f t="shared" si="2"/>
        <v>0</v>
      </c>
      <c r="R29" s="243"/>
      <c r="S29" s="87" t="s">
        <v>40</v>
      </c>
      <c r="T29" s="478" t="s">
        <v>87</v>
      </c>
      <c r="U29" s="478">
        <v>1.5</v>
      </c>
      <c r="V29" s="79"/>
      <c r="W29" s="52">
        <f t="shared" si="3"/>
        <v>0</v>
      </c>
    </row>
    <row r="30" spans="1:23" ht="15.75" customHeight="1">
      <c r="A30" s="243"/>
      <c r="B30" s="54" t="s">
        <v>88</v>
      </c>
      <c r="C30" s="1">
        <v>2.2999999999999998</v>
      </c>
      <c r="D30" s="2">
        <v>0.05</v>
      </c>
      <c r="E30" s="55"/>
      <c r="F30" s="56">
        <f t="shared" si="4"/>
        <v>0</v>
      </c>
      <c r="G30" s="243"/>
      <c r="H30" s="67">
        <v>3.1</v>
      </c>
      <c r="I30" s="68">
        <v>4.4999999999999998E-2</v>
      </c>
      <c r="J30" s="79"/>
      <c r="K30" s="44">
        <f t="shared" si="1"/>
        <v>0</v>
      </c>
      <c r="L30" s="222"/>
      <c r="M30" s="45" t="s">
        <v>40</v>
      </c>
      <c r="N30" s="1">
        <v>2.5</v>
      </c>
      <c r="O30" s="2">
        <v>0.1</v>
      </c>
      <c r="P30" s="55"/>
      <c r="Q30" s="44">
        <f t="shared" si="2"/>
        <v>0</v>
      </c>
      <c r="R30" s="243"/>
      <c r="S30" s="87" t="s">
        <v>40</v>
      </c>
      <c r="T30" s="4" t="s">
        <v>89</v>
      </c>
      <c r="U30" s="4">
        <v>2</v>
      </c>
      <c r="V30" s="79"/>
      <c r="W30" s="52">
        <f t="shared" si="3"/>
        <v>0</v>
      </c>
    </row>
    <row r="31" spans="1:23" ht="15.75" customHeight="1">
      <c r="A31" s="243"/>
      <c r="B31" s="434" t="s">
        <v>90</v>
      </c>
      <c r="C31" s="435">
        <v>2.4</v>
      </c>
      <c r="D31" s="436">
        <v>0.06</v>
      </c>
      <c r="E31" s="437"/>
      <c r="F31" s="438">
        <f t="shared" si="4"/>
        <v>0</v>
      </c>
      <c r="G31" s="248"/>
      <c r="H31" s="67">
        <v>3.2</v>
      </c>
      <c r="I31" s="68">
        <v>0.05</v>
      </c>
      <c r="J31" s="79"/>
      <c r="K31" s="44">
        <f t="shared" si="1"/>
        <v>0</v>
      </c>
      <c r="L31" s="222"/>
      <c r="M31" s="45" t="s">
        <v>40</v>
      </c>
      <c r="N31" s="1">
        <v>2.6</v>
      </c>
      <c r="O31" s="2">
        <v>0.11</v>
      </c>
      <c r="P31" s="55"/>
      <c r="Q31" s="44">
        <f t="shared" si="2"/>
        <v>0</v>
      </c>
      <c r="R31" s="243"/>
      <c r="S31" s="87" t="s">
        <v>40</v>
      </c>
      <c r="T31" s="4" t="s">
        <v>91</v>
      </c>
      <c r="U31" s="4">
        <v>2.25</v>
      </c>
      <c r="V31" s="79"/>
      <c r="W31" s="52">
        <f t="shared" si="3"/>
        <v>0</v>
      </c>
    </row>
    <row r="32" spans="1:23" ht="15.75" customHeight="1">
      <c r="A32" s="248"/>
      <c r="B32" s="54" t="s">
        <v>92</v>
      </c>
      <c r="C32" s="1">
        <v>2.5</v>
      </c>
      <c r="D32" s="2">
        <v>6.5000000000000002E-2</v>
      </c>
      <c r="E32" s="55"/>
      <c r="F32" s="56">
        <f t="shared" si="4"/>
        <v>0</v>
      </c>
      <c r="G32" s="238"/>
      <c r="H32" s="67">
        <v>3.3</v>
      </c>
      <c r="I32" s="68">
        <v>5.1999999999999998E-2</v>
      </c>
      <c r="J32" s="79"/>
      <c r="K32" s="44">
        <f t="shared" si="1"/>
        <v>0</v>
      </c>
      <c r="L32" s="222"/>
      <c r="M32" s="45" t="s">
        <v>40</v>
      </c>
      <c r="N32" s="1">
        <v>2.7</v>
      </c>
      <c r="O32" s="2">
        <v>0.123</v>
      </c>
      <c r="P32" s="55"/>
      <c r="Q32" s="44">
        <f t="shared" si="2"/>
        <v>0</v>
      </c>
      <c r="R32" s="243"/>
      <c r="S32" s="87" t="s">
        <v>40</v>
      </c>
      <c r="T32" s="4" t="s">
        <v>93</v>
      </c>
      <c r="U32" s="4">
        <v>3</v>
      </c>
      <c r="V32" s="79"/>
      <c r="W32" s="52">
        <f t="shared" si="3"/>
        <v>0</v>
      </c>
    </row>
    <row r="33" spans="1:23" ht="15.75" customHeight="1">
      <c r="A33" s="238"/>
      <c r="B33" s="54" t="s">
        <v>94</v>
      </c>
      <c r="C33" s="1">
        <v>2.6</v>
      </c>
      <c r="D33" s="2">
        <v>7.0000000000000007E-2</v>
      </c>
      <c r="E33" s="55"/>
      <c r="F33" s="56">
        <f t="shared" si="4"/>
        <v>0</v>
      </c>
      <c r="G33" s="243"/>
      <c r="H33" s="5">
        <v>3.4</v>
      </c>
      <c r="I33" s="2">
        <v>6.6000000000000003E-2</v>
      </c>
      <c r="J33" s="79"/>
      <c r="K33" s="44">
        <f t="shared" si="1"/>
        <v>0</v>
      </c>
      <c r="L33" s="222"/>
      <c r="M33" s="45" t="s">
        <v>40</v>
      </c>
      <c r="N33" s="1">
        <v>2.8</v>
      </c>
      <c r="O33" s="2">
        <v>0.13700000000000001</v>
      </c>
      <c r="P33" s="55"/>
      <c r="Q33" s="44">
        <f t="shared" si="2"/>
        <v>0</v>
      </c>
      <c r="R33" s="243"/>
      <c r="S33" s="87" t="s">
        <v>40</v>
      </c>
      <c r="T33" s="4" t="s">
        <v>95</v>
      </c>
      <c r="U33" s="4">
        <v>3.5</v>
      </c>
      <c r="V33" s="79"/>
      <c r="W33" s="52">
        <f t="shared" si="3"/>
        <v>0</v>
      </c>
    </row>
    <row r="34" spans="1:23" ht="15.75" customHeight="1">
      <c r="A34" s="243"/>
      <c r="B34" s="54" t="s">
        <v>96</v>
      </c>
      <c r="C34" s="4">
        <v>2.7</v>
      </c>
      <c r="D34" s="2">
        <v>0.08</v>
      </c>
      <c r="E34" s="55"/>
      <c r="F34" s="56">
        <f t="shared" si="4"/>
        <v>0</v>
      </c>
      <c r="G34" s="243"/>
      <c r="H34" s="5">
        <v>3.5</v>
      </c>
      <c r="I34" s="2">
        <v>7.5999999999999998E-2</v>
      </c>
      <c r="J34" s="79"/>
      <c r="K34" s="44">
        <f t="shared" si="1"/>
        <v>0</v>
      </c>
      <c r="L34" s="222"/>
      <c r="M34" s="45" t="s">
        <v>40</v>
      </c>
      <c r="N34" s="1">
        <v>2.9</v>
      </c>
      <c r="O34" s="2">
        <v>0.15</v>
      </c>
      <c r="P34" s="55"/>
      <c r="Q34" s="44">
        <f t="shared" si="2"/>
        <v>0</v>
      </c>
      <c r="S34" s="87" t="s">
        <v>40</v>
      </c>
      <c r="T34" s="79" t="s">
        <v>97</v>
      </c>
      <c r="U34" s="4">
        <v>5.5</v>
      </c>
      <c r="V34" s="79"/>
      <c r="W34" s="52">
        <f t="shared" si="3"/>
        <v>0</v>
      </c>
    </row>
    <row r="35" spans="1:23" ht="15.75" customHeight="1" thickBot="1">
      <c r="A35" s="243"/>
      <c r="B35" s="54" t="s">
        <v>98</v>
      </c>
      <c r="C35" s="4">
        <v>2.8</v>
      </c>
      <c r="D35" s="2">
        <v>0.09</v>
      </c>
      <c r="E35" s="55"/>
      <c r="F35" s="56">
        <f t="shared" si="4"/>
        <v>0</v>
      </c>
      <c r="G35" s="243"/>
      <c r="H35" s="67">
        <v>3.6</v>
      </c>
      <c r="I35" s="68">
        <v>0.08</v>
      </c>
      <c r="J35" s="79"/>
      <c r="K35" s="44">
        <f t="shared" si="1"/>
        <v>0</v>
      </c>
      <c r="L35" s="222"/>
      <c r="M35" s="45" t="s">
        <v>40</v>
      </c>
      <c r="N35" s="1">
        <v>3</v>
      </c>
      <c r="O35" s="2">
        <v>0.16900000000000001</v>
      </c>
      <c r="P35" s="55"/>
      <c r="Q35" s="44">
        <f t="shared" si="2"/>
        <v>0</v>
      </c>
      <c r="S35" s="87" t="s">
        <v>40</v>
      </c>
      <c r="T35" s="80" t="s">
        <v>99</v>
      </c>
      <c r="U35" s="80">
        <v>8.6</v>
      </c>
      <c r="V35" s="253"/>
      <c r="W35" s="52">
        <f t="shared" si="3"/>
        <v>0</v>
      </c>
    </row>
    <row r="36" spans="1:23" ht="15.75" customHeight="1" thickBot="1">
      <c r="A36" s="238"/>
      <c r="B36" s="54" t="s">
        <v>100</v>
      </c>
      <c r="C36" s="4">
        <v>2.9</v>
      </c>
      <c r="D36" s="2">
        <v>0.1</v>
      </c>
      <c r="E36" s="55"/>
      <c r="F36" s="56">
        <f t="shared" si="4"/>
        <v>0</v>
      </c>
      <c r="G36" s="248"/>
      <c r="H36" s="67">
        <v>3.7</v>
      </c>
      <c r="I36" s="68">
        <v>8.4000000000000005E-2</v>
      </c>
      <c r="J36" s="79"/>
      <c r="K36" s="44">
        <f t="shared" si="1"/>
        <v>0</v>
      </c>
      <c r="L36" s="222"/>
      <c r="M36" s="45" t="s">
        <v>40</v>
      </c>
      <c r="N36" s="1">
        <v>3.1</v>
      </c>
      <c r="O36" s="2">
        <v>0.186</v>
      </c>
      <c r="P36" s="55"/>
      <c r="Q36" s="44">
        <f t="shared" si="2"/>
        <v>0</v>
      </c>
      <c r="S36" s="521" t="s">
        <v>36</v>
      </c>
      <c r="T36" s="522"/>
      <c r="U36" s="523"/>
      <c r="V36" s="254">
        <f>SUM(V9:V35)</f>
        <v>0</v>
      </c>
      <c r="W36" s="83">
        <f>SUM(W9:W35)</f>
        <v>0</v>
      </c>
    </row>
    <row r="37" spans="1:23" ht="15.75" customHeight="1" thickBot="1">
      <c r="A37" s="243"/>
      <c r="B37" s="54" t="s">
        <v>101</v>
      </c>
      <c r="C37" s="1">
        <v>3</v>
      </c>
      <c r="D37" s="2">
        <v>0.11</v>
      </c>
      <c r="E37" s="55"/>
      <c r="F37" s="56">
        <f t="shared" si="4"/>
        <v>0</v>
      </c>
      <c r="G37" s="238"/>
      <c r="H37" s="67" t="s">
        <v>102</v>
      </c>
      <c r="I37" s="68">
        <v>8.9999999999999993E-3</v>
      </c>
      <c r="J37" s="79"/>
      <c r="K37" s="44">
        <f t="shared" si="1"/>
        <v>0</v>
      </c>
      <c r="L37" s="222"/>
      <c r="M37" s="45" t="s">
        <v>40</v>
      </c>
      <c r="N37" s="1">
        <v>3.2</v>
      </c>
      <c r="O37" s="2">
        <v>0.2</v>
      </c>
      <c r="P37" s="55"/>
      <c r="Q37" s="44">
        <f t="shared" si="2"/>
        <v>0</v>
      </c>
      <c r="S37" s="255"/>
      <c r="T37" s="255"/>
      <c r="U37" s="255"/>
      <c r="V37" s="256"/>
      <c r="W37" s="255"/>
    </row>
    <row r="38" spans="1:23" ht="15.75" customHeight="1" thickBot="1">
      <c r="A38" s="248"/>
      <c r="B38" s="54" t="s">
        <v>103</v>
      </c>
      <c r="C38" s="1">
        <v>3.1</v>
      </c>
      <c r="D38" s="2">
        <v>0.12</v>
      </c>
      <c r="E38" s="55"/>
      <c r="F38" s="56">
        <f t="shared" si="4"/>
        <v>0</v>
      </c>
      <c r="G38" s="238"/>
      <c r="H38" s="5" t="s">
        <v>104</v>
      </c>
      <c r="I38" s="2">
        <v>0.01</v>
      </c>
      <c r="J38" s="79"/>
      <c r="K38" s="44">
        <f t="shared" si="1"/>
        <v>0</v>
      </c>
      <c r="L38" s="222"/>
      <c r="M38" s="45" t="s">
        <v>40</v>
      </c>
      <c r="N38" s="1">
        <v>3.3</v>
      </c>
      <c r="O38" s="2">
        <v>0.224</v>
      </c>
      <c r="P38" s="55"/>
      <c r="Q38" s="44">
        <f t="shared" si="2"/>
        <v>0</v>
      </c>
      <c r="S38" s="524" t="s">
        <v>105</v>
      </c>
      <c r="T38" s="525"/>
      <c r="U38" s="525"/>
      <c r="V38" s="525"/>
      <c r="W38" s="526"/>
    </row>
    <row r="39" spans="1:23" ht="15.75" customHeight="1" thickBot="1">
      <c r="A39" s="238"/>
      <c r="B39" s="54" t="s">
        <v>106</v>
      </c>
      <c r="C39" s="1">
        <v>3.2</v>
      </c>
      <c r="D39" s="2">
        <v>0.13</v>
      </c>
      <c r="E39" s="55"/>
      <c r="F39" s="56">
        <f t="shared" si="4"/>
        <v>0</v>
      </c>
      <c r="G39" s="238"/>
      <c r="H39" s="5" t="s">
        <v>107</v>
      </c>
      <c r="I39" s="2">
        <v>1.2E-2</v>
      </c>
      <c r="J39" s="79"/>
      <c r="K39" s="44">
        <f t="shared" si="1"/>
        <v>0</v>
      </c>
      <c r="L39" s="222"/>
      <c r="M39" s="45" t="s">
        <v>40</v>
      </c>
      <c r="N39" s="1">
        <v>3.4</v>
      </c>
      <c r="O39" s="2">
        <v>0.25</v>
      </c>
      <c r="P39" s="55"/>
      <c r="Q39" s="44">
        <f t="shared" si="2"/>
        <v>0</v>
      </c>
      <c r="S39" s="257" t="s">
        <v>38</v>
      </c>
      <c r="T39" s="86" t="s">
        <v>37</v>
      </c>
      <c r="U39" s="86" t="s">
        <v>22</v>
      </c>
      <c r="V39" s="86" t="s">
        <v>21</v>
      </c>
      <c r="W39" s="86" t="s">
        <v>32</v>
      </c>
    </row>
    <row r="40" spans="1:23" ht="15.75" customHeight="1">
      <c r="A40" s="243"/>
      <c r="B40" s="87" t="s">
        <v>108</v>
      </c>
      <c r="C40" s="4">
        <v>3.3</v>
      </c>
      <c r="D40" s="68">
        <v>0.14599999999999999</v>
      </c>
      <c r="E40" s="55"/>
      <c r="F40" s="56">
        <f t="shared" si="4"/>
        <v>0</v>
      </c>
      <c r="G40" s="238"/>
      <c r="H40" s="5" t="s">
        <v>109</v>
      </c>
      <c r="I40" s="2">
        <v>1.4E-2</v>
      </c>
      <c r="J40" s="79"/>
      <c r="K40" s="44">
        <f t="shared" si="1"/>
        <v>0</v>
      </c>
      <c r="L40" s="222"/>
      <c r="M40" s="45" t="s">
        <v>40</v>
      </c>
      <c r="N40" s="1">
        <v>3.5</v>
      </c>
      <c r="O40" s="2">
        <v>0.26800000000000002</v>
      </c>
      <c r="P40" s="55"/>
      <c r="Q40" s="44">
        <f t="shared" si="2"/>
        <v>0</v>
      </c>
      <c r="S40" s="45" t="s">
        <v>40</v>
      </c>
      <c r="T40" s="239" t="s">
        <v>110</v>
      </c>
      <c r="U40" s="157">
        <v>0.03</v>
      </c>
      <c r="V40" s="258"/>
      <c r="W40" s="52">
        <f>U40*V40</f>
        <v>0</v>
      </c>
    </row>
    <row r="41" spans="1:23" ht="15.75" customHeight="1">
      <c r="A41" s="243"/>
      <c r="B41" s="54" t="s">
        <v>111</v>
      </c>
      <c r="C41" s="1">
        <v>3.4</v>
      </c>
      <c r="D41" s="2">
        <v>0.153</v>
      </c>
      <c r="E41" s="55"/>
      <c r="F41" s="56">
        <f t="shared" si="4"/>
        <v>0</v>
      </c>
      <c r="G41" s="238"/>
      <c r="H41" s="5" t="s">
        <v>112</v>
      </c>
      <c r="I41" s="2">
        <v>1.6E-2</v>
      </c>
      <c r="J41" s="79"/>
      <c r="K41" s="44">
        <f t="shared" si="1"/>
        <v>0</v>
      </c>
      <c r="L41" s="222"/>
      <c r="M41" s="45" t="s">
        <v>40</v>
      </c>
      <c r="N41" s="1">
        <v>3.6</v>
      </c>
      <c r="O41" s="2">
        <v>0.29099999999999998</v>
      </c>
      <c r="P41" s="55"/>
      <c r="Q41" s="44">
        <f t="shared" si="2"/>
        <v>0</v>
      </c>
      <c r="S41" s="45" t="s">
        <v>40</v>
      </c>
      <c r="T41" s="239" t="s">
        <v>113</v>
      </c>
      <c r="U41" s="157">
        <v>4.4999999999999998E-2</v>
      </c>
      <c r="V41" s="239"/>
      <c r="W41" s="52">
        <f>U41*V41</f>
        <v>0</v>
      </c>
    </row>
    <row r="42" spans="1:23" ht="15.75" customHeight="1">
      <c r="A42" s="238"/>
      <c r="B42" s="54" t="s">
        <v>114</v>
      </c>
      <c r="C42" s="4">
        <v>3.5</v>
      </c>
      <c r="D42" s="2">
        <v>0.16500000000000001</v>
      </c>
      <c r="E42" s="55"/>
      <c r="F42" s="56">
        <f t="shared" si="4"/>
        <v>0</v>
      </c>
      <c r="G42" s="238"/>
      <c r="H42" s="5" t="s">
        <v>115</v>
      </c>
      <c r="I42" s="2">
        <v>1.9E-2</v>
      </c>
      <c r="J42" s="79"/>
      <c r="K42" s="44">
        <f t="shared" si="1"/>
        <v>0</v>
      </c>
      <c r="L42" s="222"/>
      <c r="M42" s="45" t="s">
        <v>40</v>
      </c>
      <c r="N42" s="1">
        <v>3.7</v>
      </c>
      <c r="O42" s="2">
        <v>0.3</v>
      </c>
      <c r="P42" s="55"/>
      <c r="Q42" s="44">
        <f t="shared" si="2"/>
        <v>0</v>
      </c>
      <c r="R42" s="238"/>
      <c r="S42" s="45" t="s">
        <v>40</v>
      </c>
      <c r="T42" s="79" t="s">
        <v>116</v>
      </c>
      <c r="U42" s="68">
        <v>5.5E-2</v>
      </c>
      <c r="V42" s="79"/>
      <c r="W42" s="52">
        <f t="shared" ref="W42:W58" si="5">U42*V42</f>
        <v>0</v>
      </c>
    </row>
    <row r="43" spans="1:23" ht="15.75" customHeight="1">
      <c r="A43" s="243"/>
      <c r="B43" s="54" t="s">
        <v>117</v>
      </c>
      <c r="C43" s="1">
        <v>3.6</v>
      </c>
      <c r="D43" s="2">
        <v>0.19500000000000001</v>
      </c>
      <c r="E43" s="55"/>
      <c r="F43" s="56">
        <f t="shared" si="4"/>
        <v>0</v>
      </c>
      <c r="G43" s="238"/>
      <c r="H43" s="5" t="s">
        <v>118</v>
      </c>
      <c r="I43" s="2">
        <v>0.02</v>
      </c>
      <c r="J43" s="79"/>
      <c r="K43" s="44">
        <f t="shared" si="1"/>
        <v>0</v>
      </c>
      <c r="L43" s="222"/>
      <c r="M43" s="45" t="s">
        <v>40</v>
      </c>
      <c r="N43" s="1">
        <v>3.8</v>
      </c>
      <c r="O43" s="2">
        <v>0.33</v>
      </c>
      <c r="P43" s="55"/>
      <c r="Q43" s="44">
        <f t="shared" si="2"/>
        <v>0</v>
      </c>
      <c r="R43" s="248"/>
      <c r="S43" s="45" t="s">
        <v>40</v>
      </c>
      <c r="T43" s="79" t="s">
        <v>119</v>
      </c>
      <c r="U43" s="68">
        <v>5.8000000000000003E-2</v>
      </c>
      <c r="V43" s="79"/>
      <c r="W43" s="52">
        <f t="shared" si="5"/>
        <v>0</v>
      </c>
    </row>
    <row r="44" spans="1:23" ht="15.75" customHeight="1">
      <c r="A44" s="248"/>
      <c r="B44" s="54" t="s">
        <v>120</v>
      </c>
      <c r="C44" s="1">
        <v>3.7</v>
      </c>
      <c r="D44" s="2">
        <v>0.21</v>
      </c>
      <c r="E44" s="55"/>
      <c r="F44" s="56">
        <f t="shared" si="4"/>
        <v>0</v>
      </c>
      <c r="G44" s="238"/>
      <c r="H44" s="5" t="s">
        <v>121</v>
      </c>
      <c r="I44" s="2">
        <v>2.1000000000000001E-2</v>
      </c>
      <c r="J44" s="79"/>
      <c r="K44" s="44">
        <f t="shared" si="1"/>
        <v>0</v>
      </c>
      <c r="L44" s="222"/>
      <c r="M44" s="45" t="s">
        <v>40</v>
      </c>
      <c r="N44" s="1">
        <v>3.9</v>
      </c>
      <c r="O44" s="2">
        <v>0.37</v>
      </c>
      <c r="P44" s="55"/>
      <c r="Q44" s="44">
        <f t="shared" si="2"/>
        <v>0</v>
      </c>
      <c r="R44" s="243"/>
      <c r="S44" s="45" t="s">
        <v>40</v>
      </c>
      <c r="T44" s="4" t="s">
        <v>122</v>
      </c>
      <c r="U44" s="68">
        <v>7.0000000000000007E-2</v>
      </c>
      <c r="V44" s="79"/>
      <c r="W44" s="52">
        <f t="shared" si="5"/>
        <v>0</v>
      </c>
    </row>
    <row r="45" spans="1:23" ht="15.75" customHeight="1" thickBot="1">
      <c r="A45" s="243"/>
      <c r="B45" s="54" t="s">
        <v>123</v>
      </c>
      <c r="C45" s="1">
        <v>3.8</v>
      </c>
      <c r="D45" s="2">
        <v>0.23909090909090908</v>
      </c>
      <c r="E45" s="55"/>
      <c r="F45" s="56">
        <f t="shared" si="4"/>
        <v>0</v>
      </c>
      <c r="G45" s="238"/>
      <c r="H45" s="220" t="s">
        <v>124</v>
      </c>
      <c r="I45" s="93">
        <v>0.2</v>
      </c>
      <c r="J45" s="259"/>
      <c r="K45" s="44">
        <f t="shared" si="1"/>
        <v>0</v>
      </c>
      <c r="L45" s="222"/>
      <c r="M45" s="45" t="s">
        <v>40</v>
      </c>
      <c r="N45" s="1">
        <v>4</v>
      </c>
      <c r="O45" s="2">
        <v>0.4</v>
      </c>
      <c r="P45" s="55"/>
      <c r="Q45" s="44">
        <f t="shared" si="2"/>
        <v>0</v>
      </c>
      <c r="R45" s="243"/>
      <c r="S45" s="45" t="s">
        <v>40</v>
      </c>
      <c r="T45" s="4" t="s">
        <v>125</v>
      </c>
      <c r="U45" s="68">
        <v>0.09</v>
      </c>
      <c r="V45" s="79"/>
      <c r="W45" s="52">
        <f t="shared" si="5"/>
        <v>0</v>
      </c>
    </row>
    <row r="46" spans="1:23" ht="15.75" customHeight="1" thickBot="1">
      <c r="A46" s="243"/>
      <c r="B46" s="87" t="s">
        <v>126</v>
      </c>
      <c r="C46" s="4">
        <v>3.9</v>
      </c>
      <c r="D46" s="68">
        <v>0.25189189189189187</v>
      </c>
      <c r="E46" s="55"/>
      <c r="F46" s="56">
        <f t="shared" si="4"/>
        <v>0</v>
      </c>
      <c r="H46" s="521" t="s">
        <v>127</v>
      </c>
      <c r="I46" s="523"/>
      <c r="J46" s="260">
        <f>SUM(J9:J45)</f>
        <v>0</v>
      </c>
      <c r="K46" s="83">
        <f>SUM(K9:K45)</f>
        <v>0</v>
      </c>
      <c r="L46" s="222"/>
      <c r="M46" s="45" t="s">
        <v>40</v>
      </c>
      <c r="N46" s="1">
        <v>4.0999999999999996</v>
      </c>
      <c r="O46" s="2">
        <v>0.43</v>
      </c>
      <c r="P46" s="55"/>
      <c r="Q46" s="44">
        <f t="shared" si="2"/>
        <v>0</v>
      </c>
      <c r="R46" s="248"/>
      <c r="S46" s="45" t="s">
        <v>40</v>
      </c>
      <c r="T46" s="4" t="s">
        <v>128</v>
      </c>
      <c r="U46" s="68">
        <v>0.1</v>
      </c>
      <c r="V46" s="79"/>
      <c r="W46" s="52">
        <f t="shared" si="5"/>
        <v>0</v>
      </c>
    </row>
    <row r="47" spans="1:23" ht="15.75" customHeight="1">
      <c r="A47" s="248"/>
      <c r="B47" s="54" t="s">
        <v>129</v>
      </c>
      <c r="C47" s="1">
        <v>4</v>
      </c>
      <c r="D47" s="2">
        <v>0.26421052631578945</v>
      </c>
      <c r="E47" s="55"/>
      <c r="F47" s="56">
        <f t="shared" si="4"/>
        <v>0</v>
      </c>
      <c r="L47" s="222"/>
      <c r="M47" s="45" t="s">
        <v>40</v>
      </c>
      <c r="N47" s="1">
        <v>4.2</v>
      </c>
      <c r="O47" s="2">
        <v>0.46500000000000002</v>
      </c>
      <c r="P47" s="55"/>
      <c r="Q47" s="44">
        <f t="shared" si="2"/>
        <v>0</v>
      </c>
      <c r="R47" s="243"/>
      <c r="S47" s="45" t="s">
        <v>40</v>
      </c>
      <c r="T47" s="4" t="s">
        <v>130</v>
      </c>
      <c r="U47" s="68">
        <v>0.15</v>
      </c>
      <c r="V47" s="79"/>
      <c r="W47" s="52">
        <f t="shared" si="5"/>
        <v>0</v>
      </c>
    </row>
    <row r="48" spans="1:23" ht="15.75" customHeight="1">
      <c r="A48" s="243"/>
      <c r="B48" s="54" t="s">
        <v>131</v>
      </c>
      <c r="C48" s="1">
        <v>4.0999999999999996</v>
      </c>
      <c r="D48" s="2">
        <v>0.3</v>
      </c>
      <c r="E48" s="55"/>
      <c r="F48" s="56">
        <f t="shared" si="4"/>
        <v>0</v>
      </c>
      <c r="L48" s="222"/>
      <c r="M48" s="45" t="s">
        <v>40</v>
      </c>
      <c r="N48" s="1">
        <v>4.3</v>
      </c>
      <c r="O48" s="2">
        <v>0.48</v>
      </c>
      <c r="P48" s="55"/>
      <c r="Q48" s="44">
        <f t="shared" si="2"/>
        <v>0</v>
      </c>
      <c r="R48" s="243"/>
      <c r="S48" s="45" t="s">
        <v>40</v>
      </c>
      <c r="T48" s="4" t="s">
        <v>132</v>
      </c>
      <c r="U48" s="68">
        <v>0.15</v>
      </c>
      <c r="V48" s="79"/>
      <c r="W48" s="52">
        <f t="shared" si="5"/>
        <v>0</v>
      </c>
    </row>
    <row r="49" spans="1:23" ht="15.75" customHeight="1">
      <c r="A49" s="243"/>
      <c r="B49" s="54" t="s">
        <v>133</v>
      </c>
      <c r="C49" s="4">
        <v>4.2</v>
      </c>
      <c r="D49" s="2">
        <v>0.31</v>
      </c>
      <c r="E49" s="55"/>
      <c r="F49" s="56">
        <f t="shared" si="4"/>
        <v>0</v>
      </c>
      <c r="H49" s="261" t="s">
        <v>134</v>
      </c>
      <c r="I49" s="262" t="s">
        <v>135</v>
      </c>
      <c r="J49" s="243"/>
      <c r="K49" s="243"/>
      <c r="L49" s="222"/>
      <c r="M49" s="45" t="s">
        <v>40</v>
      </c>
      <c r="N49" s="1">
        <v>4.4000000000000004</v>
      </c>
      <c r="O49" s="2">
        <v>0.5</v>
      </c>
      <c r="P49" s="55"/>
      <c r="Q49" s="44">
        <f t="shared" si="2"/>
        <v>0</v>
      </c>
      <c r="R49" s="243"/>
      <c r="S49" s="45" t="s">
        <v>40</v>
      </c>
      <c r="T49" s="4" t="s">
        <v>136</v>
      </c>
      <c r="U49" s="68">
        <v>0.25</v>
      </c>
      <c r="V49" s="79"/>
      <c r="W49" s="52">
        <f t="shared" si="5"/>
        <v>0</v>
      </c>
    </row>
    <row r="50" spans="1:23" ht="15.75" customHeight="1">
      <c r="A50" s="243"/>
      <c r="B50" s="54" t="s">
        <v>137</v>
      </c>
      <c r="C50" s="4">
        <v>4.3</v>
      </c>
      <c r="D50" s="1">
        <v>0.33</v>
      </c>
      <c r="E50" s="55"/>
      <c r="F50" s="56">
        <f t="shared" si="4"/>
        <v>0</v>
      </c>
      <c r="L50" s="222"/>
      <c r="M50" s="45" t="s">
        <v>40</v>
      </c>
      <c r="N50" s="483">
        <v>3.7</v>
      </c>
      <c r="O50" s="484">
        <v>0.3</v>
      </c>
      <c r="P50" s="55"/>
      <c r="Q50" s="44">
        <f t="shared" si="2"/>
        <v>0</v>
      </c>
      <c r="R50" s="243"/>
      <c r="S50" s="45" t="s">
        <v>40</v>
      </c>
      <c r="T50" s="4"/>
      <c r="U50" s="68"/>
      <c r="V50" s="79"/>
      <c r="W50" s="52">
        <f t="shared" si="5"/>
        <v>0</v>
      </c>
    </row>
    <row r="51" spans="1:23" ht="15.75" customHeight="1">
      <c r="A51" s="243"/>
      <c r="B51" s="54" t="s">
        <v>138</v>
      </c>
      <c r="C51" s="1">
        <v>4.4000000000000004</v>
      </c>
      <c r="D51" s="1">
        <v>0.38</v>
      </c>
      <c r="E51" s="55"/>
      <c r="F51" s="56">
        <f t="shared" si="4"/>
        <v>0</v>
      </c>
      <c r="I51" s="263" t="s">
        <v>139</v>
      </c>
      <c r="J51" s="248"/>
      <c r="K51" s="248"/>
      <c r="L51" s="222"/>
      <c r="M51" s="45" t="s">
        <v>40</v>
      </c>
      <c r="N51" s="483">
        <v>4.4000000000000004</v>
      </c>
      <c r="O51" s="484">
        <v>0.5</v>
      </c>
      <c r="P51" s="55"/>
      <c r="Q51" s="44">
        <f t="shared" si="2"/>
        <v>0</v>
      </c>
      <c r="R51" s="243"/>
      <c r="S51" s="45" t="s">
        <v>40</v>
      </c>
      <c r="T51" s="4"/>
      <c r="U51" s="68"/>
      <c r="V51" s="79"/>
      <c r="W51" s="52">
        <f t="shared" si="5"/>
        <v>0</v>
      </c>
    </row>
    <row r="52" spans="1:23" ht="15.75" customHeight="1">
      <c r="A52" s="243"/>
      <c r="B52" s="54" t="s">
        <v>140</v>
      </c>
      <c r="C52" s="4">
        <v>4.5</v>
      </c>
      <c r="D52" s="1">
        <v>0.39</v>
      </c>
      <c r="E52" s="55"/>
      <c r="F52" s="56">
        <f t="shared" si="4"/>
        <v>0</v>
      </c>
      <c r="L52" s="222"/>
      <c r="M52" s="45" t="s">
        <v>40</v>
      </c>
      <c r="N52" s="483">
        <v>4.9000000000000004</v>
      </c>
      <c r="O52" s="484">
        <v>0.7</v>
      </c>
      <c r="P52" s="55"/>
      <c r="Q52" s="44">
        <f t="shared" si="2"/>
        <v>0</v>
      </c>
      <c r="R52" s="243"/>
      <c r="S52" s="45" t="s">
        <v>40</v>
      </c>
      <c r="T52" s="478" t="s">
        <v>141</v>
      </c>
      <c r="U52" s="479">
        <v>0.3</v>
      </c>
      <c r="V52" s="480"/>
      <c r="W52" s="481">
        <f t="shared" si="5"/>
        <v>0</v>
      </c>
    </row>
    <row r="53" spans="1:23" ht="15.75" customHeight="1">
      <c r="A53" s="243"/>
      <c r="B53" s="54" t="s">
        <v>142</v>
      </c>
      <c r="C53" s="1">
        <v>4.5999999999999996</v>
      </c>
      <c r="D53" s="1">
        <v>0.4</v>
      </c>
      <c r="E53" s="55"/>
      <c r="F53" s="56">
        <f t="shared" si="4"/>
        <v>0</v>
      </c>
      <c r="I53" s="264" t="s">
        <v>143</v>
      </c>
      <c r="J53" s="238"/>
      <c r="K53" s="238"/>
      <c r="M53" s="45" t="s">
        <v>40</v>
      </c>
      <c r="N53" s="483">
        <v>5.4</v>
      </c>
      <c r="O53" s="483">
        <v>1</v>
      </c>
      <c r="P53" s="55"/>
      <c r="Q53" s="44">
        <f t="shared" si="2"/>
        <v>0</v>
      </c>
      <c r="R53" s="243"/>
      <c r="S53" s="45" t="s">
        <v>40</v>
      </c>
      <c r="T53" s="478" t="s">
        <v>144</v>
      </c>
      <c r="U53" s="479">
        <v>0.5</v>
      </c>
      <c r="V53" s="480"/>
      <c r="W53" s="481">
        <f t="shared" si="5"/>
        <v>0</v>
      </c>
    </row>
    <row r="54" spans="1:23" ht="15.75" customHeight="1">
      <c r="A54" s="243"/>
      <c r="B54" s="45" t="s">
        <v>145</v>
      </c>
      <c r="C54" s="1">
        <v>4.7</v>
      </c>
      <c r="D54" s="1">
        <v>0.46</v>
      </c>
      <c r="E54" s="55"/>
      <c r="F54" s="56">
        <f t="shared" si="4"/>
        <v>0</v>
      </c>
      <c r="M54" s="45" t="s">
        <v>40</v>
      </c>
      <c r="N54" s="483">
        <v>6.4</v>
      </c>
      <c r="O54" s="483">
        <v>1.5</v>
      </c>
      <c r="P54" s="55"/>
      <c r="Q54" s="44">
        <f t="shared" si="2"/>
        <v>0</v>
      </c>
      <c r="R54" s="243"/>
      <c r="S54" s="45" t="s">
        <v>40</v>
      </c>
      <c r="T54" s="478" t="s">
        <v>146</v>
      </c>
      <c r="U54" s="479">
        <v>0.7</v>
      </c>
      <c r="V54" s="480"/>
      <c r="W54" s="481">
        <f t="shared" si="5"/>
        <v>0</v>
      </c>
    </row>
    <row r="55" spans="1:23" ht="15.75" customHeight="1" thickBot="1">
      <c r="A55" s="248"/>
      <c r="B55" s="45" t="s">
        <v>145</v>
      </c>
      <c r="C55" s="4">
        <v>4.8</v>
      </c>
      <c r="D55" s="4">
        <v>0.49</v>
      </c>
      <c r="E55" s="55"/>
      <c r="F55" s="56">
        <f t="shared" si="4"/>
        <v>0</v>
      </c>
      <c r="M55" s="45" t="s">
        <v>40</v>
      </c>
      <c r="N55" s="1">
        <v>8</v>
      </c>
      <c r="O55" s="1">
        <v>2.9</v>
      </c>
      <c r="P55" s="55"/>
      <c r="Q55" s="44">
        <f t="shared" si="2"/>
        <v>0</v>
      </c>
      <c r="R55" s="243"/>
      <c r="S55" s="45" t="s">
        <v>40</v>
      </c>
      <c r="T55" s="478" t="s">
        <v>147</v>
      </c>
      <c r="U55" s="479">
        <v>1</v>
      </c>
      <c r="V55" s="480"/>
      <c r="W55" s="481">
        <f t="shared" si="5"/>
        <v>0</v>
      </c>
    </row>
    <row r="56" spans="1:23" ht="15.75" customHeight="1" thickBot="1">
      <c r="A56" s="243"/>
      <c r="B56" s="45" t="s">
        <v>145</v>
      </c>
      <c r="C56" s="1">
        <v>4.9000000000000004</v>
      </c>
      <c r="D56" s="1">
        <v>0.5</v>
      </c>
      <c r="E56" s="55"/>
      <c r="F56" s="56">
        <f t="shared" si="4"/>
        <v>0</v>
      </c>
      <c r="H56" s="527" t="s">
        <v>148</v>
      </c>
      <c r="I56" s="527"/>
      <c r="J56" s="257" t="s">
        <v>21</v>
      </c>
      <c r="K56" s="257" t="s">
        <v>32</v>
      </c>
      <c r="M56" s="45" t="s">
        <v>40</v>
      </c>
      <c r="N56" s="1">
        <v>9</v>
      </c>
      <c r="O56" s="1">
        <v>4.4000000000000004</v>
      </c>
      <c r="P56" s="55"/>
      <c r="Q56" s="44">
        <f t="shared" si="2"/>
        <v>0</v>
      </c>
      <c r="R56" s="243"/>
      <c r="S56" s="45" t="s">
        <v>40</v>
      </c>
      <c r="T56" s="478" t="s">
        <v>149</v>
      </c>
      <c r="U56" s="479">
        <v>1.5</v>
      </c>
      <c r="V56" s="480"/>
      <c r="W56" s="481">
        <f t="shared" si="5"/>
        <v>0</v>
      </c>
    </row>
    <row r="57" spans="1:23" ht="15.75" customHeight="1">
      <c r="A57" s="243"/>
      <c r="B57" s="45" t="s">
        <v>145</v>
      </c>
      <c r="C57" s="4">
        <v>5</v>
      </c>
      <c r="D57" s="4">
        <v>0.52</v>
      </c>
      <c r="E57" s="55"/>
      <c r="F57" s="56">
        <f t="shared" si="4"/>
        <v>0</v>
      </c>
      <c r="H57" s="528" t="s">
        <v>33</v>
      </c>
      <c r="I57" s="529"/>
      <c r="J57" s="265">
        <f>E103</f>
        <v>0</v>
      </c>
      <c r="K57" s="265">
        <f>F103</f>
        <v>0</v>
      </c>
      <c r="M57" s="45" t="s">
        <v>40</v>
      </c>
      <c r="N57" s="1">
        <v>10</v>
      </c>
      <c r="O57" s="1">
        <v>6</v>
      </c>
      <c r="P57" s="55"/>
      <c r="Q57" s="44">
        <f t="shared" si="2"/>
        <v>0</v>
      </c>
      <c r="S57" s="45" t="s">
        <v>40</v>
      </c>
      <c r="T57" s="4" t="s">
        <v>150</v>
      </c>
      <c r="U57" s="68">
        <v>3</v>
      </c>
      <c r="V57" s="79"/>
      <c r="W57" s="52">
        <f t="shared" si="5"/>
        <v>0</v>
      </c>
    </row>
    <row r="58" spans="1:23" ht="15.75" customHeight="1" thickBot="1">
      <c r="A58" s="238"/>
      <c r="B58" s="45" t="s">
        <v>145</v>
      </c>
      <c r="C58" s="4">
        <v>5.0999999999999996</v>
      </c>
      <c r="D58" s="1">
        <v>0.56000000000000005</v>
      </c>
      <c r="E58" s="55"/>
      <c r="F58" s="56">
        <f t="shared" si="4"/>
        <v>0</v>
      </c>
      <c r="H58" s="507" t="s">
        <v>127</v>
      </c>
      <c r="I58" s="508"/>
      <c r="J58" s="266">
        <f>J46</f>
        <v>0</v>
      </c>
      <c r="K58" s="121">
        <f>K46</f>
        <v>0</v>
      </c>
      <c r="M58" s="45" t="s">
        <v>40</v>
      </c>
      <c r="N58" s="1">
        <v>11</v>
      </c>
      <c r="O58" s="1">
        <v>8</v>
      </c>
      <c r="P58" s="55"/>
      <c r="Q58" s="44">
        <f t="shared" si="2"/>
        <v>0</v>
      </c>
      <c r="S58" s="45" t="s">
        <v>40</v>
      </c>
      <c r="T58" s="80" t="s">
        <v>151</v>
      </c>
      <c r="U58" s="103">
        <v>4</v>
      </c>
      <c r="V58" s="253"/>
      <c r="W58" s="52">
        <f t="shared" si="5"/>
        <v>0</v>
      </c>
    </row>
    <row r="59" spans="1:23" ht="15.75" customHeight="1" thickBot="1">
      <c r="A59" s="243"/>
      <c r="B59" s="45" t="s">
        <v>145</v>
      </c>
      <c r="C59" s="4">
        <v>5.2</v>
      </c>
      <c r="D59" s="1">
        <v>0.61</v>
      </c>
      <c r="E59" s="55"/>
      <c r="F59" s="56">
        <f t="shared" si="4"/>
        <v>0</v>
      </c>
      <c r="H59" s="507" t="s">
        <v>35</v>
      </c>
      <c r="I59" s="508"/>
      <c r="J59" s="266">
        <f>P64</f>
        <v>0</v>
      </c>
      <c r="K59" s="121">
        <f>Q64</f>
        <v>0</v>
      </c>
      <c r="M59" s="45" t="s">
        <v>40</v>
      </c>
      <c r="N59" s="1">
        <v>12</v>
      </c>
      <c r="O59" s="1">
        <v>10.35</v>
      </c>
      <c r="P59" s="55"/>
      <c r="Q59" s="44">
        <f t="shared" si="2"/>
        <v>0</v>
      </c>
      <c r="S59" s="532" t="s">
        <v>105</v>
      </c>
      <c r="T59" s="532"/>
      <c r="U59" s="532"/>
      <c r="V59" s="267">
        <f>SUM(V40:V58)</f>
        <v>0</v>
      </c>
      <c r="W59" s="83">
        <f>SUM(W40:W58)</f>
        <v>0</v>
      </c>
    </row>
    <row r="60" spans="1:23" ht="15.75" customHeight="1" thickBot="1">
      <c r="A60" s="243"/>
      <c r="B60" s="45" t="s">
        <v>145</v>
      </c>
      <c r="C60" s="4">
        <v>5.3</v>
      </c>
      <c r="D60" s="1">
        <v>0.63</v>
      </c>
      <c r="E60" s="55"/>
      <c r="F60" s="56">
        <f t="shared" si="4"/>
        <v>0</v>
      </c>
      <c r="H60" s="507" t="s">
        <v>36</v>
      </c>
      <c r="I60" s="508"/>
      <c r="J60" s="266">
        <f>V36</f>
        <v>0</v>
      </c>
      <c r="K60" s="121">
        <f>W36</f>
        <v>0</v>
      </c>
      <c r="M60" s="45" t="s">
        <v>40</v>
      </c>
      <c r="N60" s="1">
        <v>13</v>
      </c>
      <c r="O60" s="1">
        <v>13.2</v>
      </c>
      <c r="P60" s="55"/>
      <c r="Q60" s="44">
        <f t="shared" si="2"/>
        <v>0</v>
      </c>
    </row>
    <row r="61" spans="1:23" ht="15.75" customHeight="1" thickBot="1">
      <c r="A61" s="248"/>
      <c r="B61" s="45" t="s">
        <v>145</v>
      </c>
      <c r="C61" s="1">
        <v>5.4</v>
      </c>
      <c r="D61" s="1">
        <v>0.65</v>
      </c>
      <c r="E61" s="55"/>
      <c r="F61" s="56">
        <f t="shared" si="4"/>
        <v>0</v>
      </c>
      <c r="H61" s="507" t="s">
        <v>152</v>
      </c>
      <c r="I61" s="508"/>
      <c r="J61" s="79">
        <f>V59</f>
        <v>0</v>
      </c>
      <c r="K61" s="121">
        <f>W59</f>
        <v>0</v>
      </c>
      <c r="M61" s="45" t="s">
        <v>40</v>
      </c>
      <c r="N61" s="1">
        <v>14</v>
      </c>
      <c r="O61" s="1">
        <v>16.5</v>
      </c>
      <c r="P61" s="55"/>
      <c r="Q61" s="44">
        <f t="shared" si="2"/>
        <v>0</v>
      </c>
      <c r="T61" s="524" t="s">
        <v>153</v>
      </c>
      <c r="U61" s="525"/>
      <c r="V61" s="525"/>
      <c r="W61" s="526"/>
    </row>
    <row r="62" spans="1:23" ht="15.75" customHeight="1" thickBot="1">
      <c r="A62" s="248"/>
      <c r="B62" s="45" t="s">
        <v>145</v>
      </c>
      <c r="C62" s="1">
        <v>5.5</v>
      </c>
      <c r="D62" s="1">
        <v>0.67</v>
      </c>
      <c r="E62" s="55"/>
      <c r="F62" s="56">
        <f t="shared" si="4"/>
        <v>0</v>
      </c>
      <c r="H62" s="507" t="s">
        <v>153</v>
      </c>
      <c r="I62" s="508"/>
      <c r="J62" s="266">
        <f>V83</f>
        <v>0</v>
      </c>
      <c r="K62" s="121">
        <f>W83</f>
        <v>0</v>
      </c>
      <c r="M62" s="45" t="s">
        <v>40</v>
      </c>
      <c r="N62" s="1">
        <v>15</v>
      </c>
      <c r="O62" s="1">
        <v>20.25</v>
      </c>
      <c r="P62" s="55"/>
      <c r="Q62" s="44">
        <f t="shared" si="2"/>
        <v>0</v>
      </c>
      <c r="T62" s="104"/>
      <c r="U62" s="104"/>
      <c r="V62" s="104"/>
      <c r="W62" s="104"/>
    </row>
    <row r="63" spans="1:23" ht="15.75" customHeight="1" thickBot="1">
      <c r="A63" s="238"/>
      <c r="B63" s="45" t="s">
        <v>145</v>
      </c>
      <c r="C63" s="1">
        <v>5.6</v>
      </c>
      <c r="D63" s="1">
        <v>0.7</v>
      </c>
      <c r="E63" s="55"/>
      <c r="F63" s="56">
        <f t="shared" si="4"/>
        <v>0</v>
      </c>
      <c r="H63" s="533" t="s">
        <v>154</v>
      </c>
      <c r="I63" s="534"/>
      <c r="J63" s="268">
        <f>P84</f>
        <v>0</v>
      </c>
      <c r="K63" s="269">
        <f>Q84</f>
        <v>0</v>
      </c>
      <c r="M63" s="45" t="s">
        <v>40</v>
      </c>
      <c r="N63" s="107">
        <v>16</v>
      </c>
      <c r="O63" s="107">
        <v>24.6</v>
      </c>
      <c r="P63" s="270"/>
      <c r="Q63" s="44">
        <f>P63*O63</f>
        <v>0</v>
      </c>
      <c r="T63" s="86" t="s">
        <v>37</v>
      </c>
      <c r="U63" s="86" t="s">
        <v>22</v>
      </c>
      <c r="V63" s="86" t="s">
        <v>21</v>
      </c>
      <c r="W63" s="86" t="s">
        <v>32</v>
      </c>
    </row>
    <row r="64" spans="1:23" ht="15.75" customHeight="1" thickBot="1">
      <c r="B64" s="45" t="s">
        <v>145</v>
      </c>
      <c r="C64" s="1">
        <v>5.8</v>
      </c>
      <c r="D64" s="1">
        <v>0.8</v>
      </c>
      <c r="E64" s="55"/>
      <c r="F64" s="56">
        <f t="shared" si="4"/>
        <v>0</v>
      </c>
      <c r="H64" s="535" t="s">
        <v>32</v>
      </c>
      <c r="I64" s="535"/>
      <c r="J64" s="271">
        <f>SUM(J57:J63)</f>
        <v>0</v>
      </c>
      <c r="K64" s="272">
        <f>SUM(K57:K63)</f>
        <v>0</v>
      </c>
      <c r="M64" s="536" t="s">
        <v>35</v>
      </c>
      <c r="N64" s="536"/>
      <c r="O64" s="536"/>
      <c r="P64" s="267">
        <f>SUM(P9:P63)</f>
        <v>0</v>
      </c>
      <c r="Q64" s="111">
        <f>SUM(Q9:Q63)</f>
        <v>0</v>
      </c>
      <c r="T64" s="112" t="s">
        <v>155</v>
      </c>
      <c r="U64" s="113">
        <v>0.15</v>
      </c>
      <c r="V64" s="258"/>
      <c r="W64" s="52">
        <f>V64*U64</f>
        <v>0</v>
      </c>
    </row>
    <row r="65" spans="2:23" ht="15.75" customHeight="1" thickBot="1">
      <c r="B65" s="45" t="s">
        <v>145</v>
      </c>
      <c r="C65" s="1">
        <v>6</v>
      </c>
      <c r="D65" s="1">
        <v>0.9</v>
      </c>
      <c r="E65" s="55"/>
      <c r="F65" s="56">
        <f t="shared" si="4"/>
        <v>0</v>
      </c>
      <c r="T65" s="474" t="s">
        <v>156</v>
      </c>
      <c r="U65" s="475">
        <v>0.3</v>
      </c>
      <c r="V65" s="258"/>
      <c r="W65" s="52">
        <f>V65*U65</f>
        <v>0</v>
      </c>
    </row>
    <row r="66" spans="2:23" ht="15.75" customHeight="1" thickBot="1">
      <c r="B66" s="45" t="s">
        <v>145</v>
      </c>
      <c r="C66" s="1">
        <v>6.2</v>
      </c>
      <c r="D66" s="1">
        <v>1</v>
      </c>
      <c r="E66" s="55"/>
      <c r="F66" s="56">
        <f t="shared" si="4"/>
        <v>0</v>
      </c>
      <c r="M66" s="273"/>
      <c r="N66" s="537" t="s">
        <v>154</v>
      </c>
      <c r="O66" s="538"/>
      <c r="P66" s="538"/>
      <c r="Q66" s="539"/>
      <c r="R66" s="273"/>
      <c r="T66" s="476" t="s">
        <v>157</v>
      </c>
      <c r="U66" s="477">
        <v>0.5</v>
      </c>
      <c r="V66" s="79"/>
      <c r="W66" s="52">
        <f t="shared" ref="W66:W81" si="6">V66*U66</f>
        <v>0</v>
      </c>
    </row>
    <row r="67" spans="2:23" ht="15.75" customHeight="1" thickBot="1">
      <c r="B67" s="45" t="s">
        <v>145</v>
      </c>
      <c r="C67" s="1">
        <v>6.4</v>
      </c>
      <c r="D67" s="1">
        <v>1.05</v>
      </c>
      <c r="E67" s="55"/>
      <c r="F67" s="56">
        <f t="shared" si="4"/>
        <v>0</v>
      </c>
      <c r="M67" s="273"/>
      <c r="N67" s="29"/>
      <c r="O67" s="29"/>
      <c r="P67" s="29"/>
      <c r="Q67" s="29"/>
      <c r="R67" s="273"/>
      <c r="T67" s="476" t="s">
        <v>158</v>
      </c>
      <c r="U67" s="477">
        <v>0.7</v>
      </c>
      <c r="V67" s="79"/>
      <c r="W67" s="52">
        <f t="shared" si="6"/>
        <v>0</v>
      </c>
    </row>
    <row r="68" spans="2:23" ht="15.75" customHeight="1" thickBot="1">
      <c r="B68" s="45" t="s">
        <v>145</v>
      </c>
      <c r="C68" s="1">
        <v>6.5</v>
      </c>
      <c r="D68" s="1">
        <v>1.1000000000000001</v>
      </c>
      <c r="E68" s="55"/>
      <c r="F68" s="56">
        <f t="shared" si="4"/>
        <v>0</v>
      </c>
      <c r="M68" s="273"/>
      <c r="N68" s="86" t="s">
        <v>37</v>
      </c>
      <c r="O68" s="86" t="s">
        <v>22</v>
      </c>
      <c r="P68" s="86" t="s">
        <v>21</v>
      </c>
      <c r="Q68" s="86" t="s">
        <v>32</v>
      </c>
      <c r="R68" s="273"/>
      <c r="T68" s="476" t="s">
        <v>159</v>
      </c>
      <c r="U68" s="477">
        <v>1</v>
      </c>
      <c r="V68" s="79"/>
      <c r="W68" s="52">
        <f t="shared" si="6"/>
        <v>0</v>
      </c>
    </row>
    <row r="69" spans="2:23" ht="15.75" customHeight="1">
      <c r="B69" s="45" t="s">
        <v>145</v>
      </c>
      <c r="C69" s="1">
        <v>6.6</v>
      </c>
      <c r="D69" s="1">
        <v>1.1299999999999999</v>
      </c>
      <c r="E69" s="55"/>
      <c r="F69" s="56">
        <f t="shared" si="4"/>
        <v>0</v>
      </c>
      <c r="M69" s="273"/>
      <c r="N69" s="118" t="s">
        <v>160</v>
      </c>
      <c r="O69" s="119">
        <v>0.25</v>
      </c>
      <c r="P69" s="258"/>
      <c r="Q69" s="120">
        <f>P69*O69</f>
        <v>0</v>
      </c>
      <c r="R69" s="273"/>
      <c r="T69" s="476" t="s">
        <v>161</v>
      </c>
      <c r="U69" s="477">
        <v>1.5</v>
      </c>
      <c r="V69" s="79"/>
      <c r="W69" s="52">
        <f t="shared" si="6"/>
        <v>0</v>
      </c>
    </row>
    <row r="70" spans="2:23" ht="15.75" customHeight="1">
      <c r="B70" s="45" t="s">
        <v>145</v>
      </c>
      <c r="C70" s="1">
        <v>6.8</v>
      </c>
      <c r="D70" s="1">
        <v>1.17</v>
      </c>
      <c r="E70" s="55"/>
      <c r="F70" s="56">
        <f t="shared" si="4"/>
        <v>0</v>
      </c>
      <c r="M70" s="273"/>
      <c r="N70" s="482" t="s">
        <v>162</v>
      </c>
      <c r="O70" s="478">
        <v>0.3</v>
      </c>
      <c r="P70" s="480"/>
      <c r="Q70" s="121">
        <f t="shared" ref="Q70:Q83" si="7">P70*O70</f>
        <v>0</v>
      </c>
      <c r="R70" s="273"/>
      <c r="T70" s="67" t="s">
        <v>163</v>
      </c>
      <c r="U70" s="4">
        <v>3</v>
      </c>
      <c r="V70" s="79"/>
      <c r="W70" s="52">
        <f t="shared" si="6"/>
        <v>0</v>
      </c>
    </row>
    <row r="71" spans="2:23" ht="15.75" customHeight="1">
      <c r="B71" s="45" t="s">
        <v>145</v>
      </c>
      <c r="C71" s="1">
        <v>7</v>
      </c>
      <c r="D71" s="1">
        <v>1.25</v>
      </c>
      <c r="E71" s="55"/>
      <c r="F71" s="56">
        <f t="shared" si="4"/>
        <v>0</v>
      </c>
      <c r="M71" s="273"/>
      <c r="N71" s="482" t="s">
        <v>164</v>
      </c>
      <c r="O71" s="478">
        <v>0.5</v>
      </c>
      <c r="P71" s="480"/>
      <c r="Q71" s="121">
        <f t="shared" si="7"/>
        <v>0</v>
      </c>
      <c r="R71" s="273"/>
      <c r="T71" s="67" t="s">
        <v>165</v>
      </c>
      <c r="U71" s="4">
        <v>4</v>
      </c>
      <c r="V71" s="79"/>
      <c r="W71" s="52">
        <f t="shared" si="6"/>
        <v>0</v>
      </c>
    </row>
    <row r="72" spans="2:23" ht="15.75" customHeight="1">
      <c r="B72" s="45" t="s">
        <v>145</v>
      </c>
      <c r="C72" s="1">
        <v>7.2</v>
      </c>
      <c r="D72" s="1">
        <v>1.33</v>
      </c>
      <c r="E72" s="55"/>
      <c r="F72" s="56">
        <f t="shared" si="4"/>
        <v>0</v>
      </c>
      <c r="M72" s="273"/>
      <c r="N72" s="482" t="s">
        <v>166</v>
      </c>
      <c r="O72" s="478">
        <v>0.7</v>
      </c>
      <c r="P72" s="480"/>
      <c r="Q72" s="121">
        <f t="shared" si="7"/>
        <v>0</v>
      </c>
      <c r="R72" s="273"/>
      <c r="T72" s="67" t="s">
        <v>167</v>
      </c>
      <c r="U72" s="4">
        <v>5</v>
      </c>
      <c r="V72" s="79"/>
      <c r="W72" s="52">
        <f t="shared" si="6"/>
        <v>0</v>
      </c>
    </row>
    <row r="73" spans="2:23" ht="15.75" customHeight="1">
      <c r="B73" s="45" t="s">
        <v>145</v>
      </c>
      <c r="C73" s="1">
        <v>7.4</v>
      </c>
      <c r="D73" s="1">
        <v>1.5</v>
      </c>
      <c r="E73" s="55"/>
      <c r="F73" s="56">
        <f t="shared" si="4"/>
        <v>0</v>
      </c>
      <c r="M73" s="273"/>
      <c r="N73" s="482" t="s">
        <v>25</v>
      </c>
      <c r="O73" s="478">
        <v>1</v>
      </c>
      <c r="P73" s="480"/>
      <c r="Q73" s="121">
        <f t="shared" si="7"/>
        <v>0</v>
      </c>
      <c r="R73" s="273"/>
      <c r="T73" s="67" t="s">
        <v>168</v>
      </c>
      <c r="U73" s="4">
        <v>6</v>
      </c>
      <c r="V73" s="79"/>
      <c r="W73" s="52">
        <f t="shared" si="6"/>
        <v>0</v>
      </c>
    </row>
    <row r="74" spans="2:23" ht="15.75" customHeight="1">
      <c r="B74" s="45" t="s">
        <v>145</v>
      </c>
      <c r="C74" s="1">
        <v>7.6</v>
      </c>
      <c r="D74" s="1">
        <v>1.6</v>
      </c>
      <c r="E74" s="55"/>
      <c r="F74" s="123">
        <f t="shared" si="4"/>
        <v>0</v>
      </c>
      <c r="M74" s="273"/>
      <c r="N74" s="482" t="s">
        <v>169</v>
      </c>
      <c r="O74" s="478">
        <v>1.5</v>
      </c>
      <c r="P74" s="480"/>
      <c r="Q74" s="121">
        <f t="shared" si="7"/>
        <v>0</v>
      </c>
      <c r="R74" s="273"/>
      <c r="T74" s="67" t="s">
        <v>170</v>
      </c>
      <c r="U74" s="4">
        <v>8</v>
      </c>
      <c r="V74" s="79"/>
      <c r="W74" s="52">
        <f t="shared" si="6"/>
        <v>0</v>
      </c>
    </row>
    <row r="75" spans="2:23" ht="15.75" customHeight="1">
      <c r="B75" s="45" t="s">
        <v>145</v>
      </c>
      <c r="C75" s="1">
        <v>7.8</v>
      </c>
      <c r="D75" s="1">
        <v>1.75</v>
      </c>
      <c r="E75" s="55"/>
      <c r="F75" s="123">
        <f t="shared" si="4"/>
        <v>0</v>
      </c>
      <c r="M75" s="273"/>
      <c r="N75" s="67" t="s">
        <v>163</v>
      </c>
      <c r="O75" s="4">
        <v>3</v>
      </c>
      <c r="P75" s="79"/>
      <c r="Q75" s="121">
        <f t="shared" si="7"/>
        <v>0</v>
      </c>
      <c r="R75" s="273"/>
      <c r="T75" s="67" t="s">
        <v>171</v>
      </c>
      <c r="U75" s="4">
        <v>10.5</v>
      </c>
      <c r="V75" s="79"/>
      <c r="W75" s="52">
        <f t="shared" si="6"/>
        <v>0</v>
      </c>
    </row>
    <row r="76" spans="2:23" ht="15.75" customHeight="1">
      <c r="B76" s="45" t="s">
        <v>145</v>
      </c>
      <c r="C76" s="1">
        <v>8</v>
      </c>
      <c r="D76" s="1">
        <v>1.9</v>
      </c>
      <c r="E76" s="55"/>
      <c r="F76" s="123">
        <f t="shared" si="4"/>
        <v>0</v>
      </c>
      <c r="M76" s="273"/>
      <c r="N76" s="67" t="s">
        <v>165</v>
      </c>
      <c r="O76" s="4">
        <v>4</v>
      </c>
      <c r="P76" s="79"/>
      <c r="Q76" s="121">
        <f t="shared" si="7"/>
        <v>0</v>
      </c>
      <c r="R76" s="273"/>
      <c r="T76" s="67" t="s">
        <v>172</v>
      </c>
      <c r="U76" s="4">
        <v>14.2</v>
      </c>
      <c r="V76" s="79"/>
      <c r="W76" s="52">
        <f t="shared" si="6"/>
        <v>0</v>
      </c>
    </row>
    <row r="77" spans="2:23" ht="15.75" customHeight="1">
      <c r="B77" s="45" t="s">
        <v>145</v>
      </c>
      <c r="C77" s="1">
        <v>8.1999999999999993</v>
      </c>
      <c r="D77" s="1">
        <v>2</v>
      </c>
      <c r="E77" s="55"/>
      <c r="F77" s="123">
        <f t="shared" si="4"/>
        <v>0</v>
      </c>
      <c r="M77" s="273"/>
      <c r="N77" s="67" t="s">
        <v>167</v>
      </c>
      <c r="O77" s="4">
        <v>5</v>
      </c>
      <c r="P77" s="79"/>
      <c r="Q77" s="121">
        <f t="shared" si="7"/>
        <v>0</v>
      </c>
      <c r="R77" s="273"/>
      <c r="T77" s="67" t="s">
        <v>173</v>
      </c>
      <c r="U77" s="4">
        <v>20.3</v>
      </c>
      <c r="V77" s="79"/>
      <c r="W77" s="52">
        <f t="shared" si="6"/>
        <v>0</v>
      </c>
    </row>
    <row r="78" spans="2:23" ht="15.75" customHeight="1">
      <c r="B78" s="45" t="s">
        <v>145</v>
      </c>
      <c r="C78" s="1">
        <v>8.4</v>
      </c>
      <c r="D78" s="1">
        <v>2.15</v>
      </c>
      <c r="E78" s="55"/>
      <c r="F78" s="123">
        <f t="shared" si="4"/>
        <v>0</v>
      </c>
      <c r="M78" s="273"/>
      <c r="N78" s="67" t="s">
        <v>168</v>
      </c>
      <c r="O78" s="4">
        <v>6</v>
      </c>
      <c r="P78" s="79"/>
      <c r="Q78" s="121">
        <f t="shared" si="7"/>
        <v>0</v>
      </c>
      <c r="R78" s="273"/>
      <c r="T78" s="67" t="s">
        <v>174</v>
      </c>
      <c r="U78" s="4">
        <v>23.5</v>
      </c>
      <c r="V78" s="79"/>
      <c r="W78" s="52">
        <f t="shared" si="6"/>
        <v>0</v>
      </c>
    </row>
    <row r="79" spans="2:23" ht="15.75" customHeight="1">
      <c r="B79" s="45" t="s">
        <v>145</v>
      </c>
      <c r="C79" s="1">
        <v>8.6</v>
      </c>
      <c r="D79" s="1">
        <v>2.25</v>
      </c>
      <c r="E79" s="55"/>
      <c r="F79" s="123">
        <f t="shared" si="4"/>
        <v>0</v>
      </c>
      <c r="M79" s="273"/>
      <c r="N79" s="67" t="s">
        <v>170</v>
      </c>
      <c r="O79" s="4">
        <v>8</v>
      </c>
      <c r="P79" s="79"/>
      <c r="Q79" s="121">
        <f t="shared" si="7"/>
        <v>0</v>
      </c>
      <c r="R79" s="273"/>
      <c r="T79" s="67" t="s">
        <v>175</v>
      </c>
      <c r="U79" s="4">
        <v>32.200000000000003</v>
      </c>
      <c r="V79" s="79"/>
      <c r="W79" s="52">
        <f t="shared" si="6"/>
        <v>0</v>
      </c>
    </row>
    <row r="80" spans="2:23" ht="15.75" customHeight="1">
      <c r="B80" s="45" t="s">
        <v>145</v>
      </c>
      <c r="C80" s="1">
        <v>8.8000000000000007</v>
      </c>
      <c r="D80" s="1">
        <v>2.5</v>
      </c>
      <c r="E80" s="55"/>
      <c r="F80" s="123">
        <f t="shared" si="4"/>
        <v>0</v>
      </c>
      <c r="M80" s="273"/>
      <c r="N80" s="67" t="s">
        <v>99</v>
      </c>
      <c r="O80" s="4">
        <v>10.5</v>
      </c>
      <c r="P80" s="79"/>
      <c r="Q80" s="121">
        <f t="shared" si="7"/>
        <v>0</v>
      </c>
      <c r="R80" s="273"/>
      <c r="T80" s="67" t="s">
        <v>176</v>
      </c>
      <c r="U80" s="4">
        <v>43</v>
      </c>
      <c r="V80" s="79"/>
      <c r="W80" s="52">
        <f t="shared" si="6"/>
        <v>0</v>
      </c>
    </row>
    <row r="81" spans="2:23" ht="15.75" customHeight="1">
      <c r="B81" s="45" t="s">
        <v>145</v>
      </c>
      <c r="C81" s="1">
        <v>9.1999999999999993</v>
      </c>
      <c r="D81" s="1">
        <v>2.85</v>
      </c>
      <c r="E81" s="55"/>
      <c r="F81" s="123">
        <f t="shared" si="4"/>
        <v>0</v>
      </c>
      <c r="M81" s="273"/>
      <c r="N81" s="67" t="s">
        <v>172</v>
      </c>
      <c r="O81" s="4">
        <v>14.2</v>
      </c>
      <c r="P81" s="79"/>
      <c r="Q81" s="121">
        <f t="shared" si="7"/>
        <v>0</v>
      </c>
      <c r="R81" s="273"/>
      <c r="T81" s="67" t="s">
        <v>177</v>
      </c>
      <c r="U81" s="4">
        <v>58.5</v>
      </c>
      <c r="V81" s="79"/>
      <c r="W81" s="52">
        <f t="shared" si="6"/>
        <v>0</v>
      </c>
    </row>
    <row r="82" spans="2:23" ht="15.75" customHeight="1" thickBot="1">
      <c r="B82" s="45" t="s">
        <v>145</v>
      </c>
      <c r="C82" s="1">
        <v>9.4</v>
      </c>
      <c r="D82" s="1">
        <v>3</v>
      </c>
      <c r="E82" s="55"/>
      <c r="F82" s="123">
        <f t="shared" si="4"/>
        <v>0</v>
      </c>
      <c r="M82" s="273"/>
      <c r="N82" s="67" t="s">
        <v>173</v>
      </c>
      <c r="O82" s="4">
        <v>20.3</v>
      </c>
      <c r="P82" s="79"/>
      <c r="Q82" s="121">
        <f t="shared" si="7"/>
        <v>0</v>
      </c>
      <c r="R82" s="273"/>
      <c r="T82" s="67" t="s">
        <v>178</v>
      </c>
      <c r="U82" s="80">
        <v>79.599999999999994</v>
      </c>
      <c r="V82" s="253"/>
      <c r="W82" s="52">
        <f>V82*U82</f>
        <v>0</v>
      </c>
    </row>
    <row r="83" spans="2:23" ht="15.75" customHeight="1" thickBot="1">
      <c r="B83" s="45" t="s">
        <v>145</v>
      </c>
      <c r="C83" s="1">
        <v>9.6</v>
      </c>
      <c r="D83" s="1">
        <v>3.15</v>
      </c>
      <c r="E83" s="55"/>
      <c r="F83" s="123">
        <f t="shared" si="4"/>
        <v>0</v>
      </c>
      <c r="M83" s="273"/>
      <c r="N83" s="67" t="s">
        <v>176</v>
      </c>
      <c r="O83" s="127">
        <v>52.2</v>
      </c>
      <c r="P83" s="253"/>
      <c r="Q83" s="128">
        <f t="shared" si="7"/>
        <v>0</v>
      </c>
      <c r="R83" s="273"/>
      <c r="T83" s="532" t="s">
        <v>153</v>
      </c>
      <c r="U83" s="532"/>
      <c r="V83" s="260">
        <f>SUM(V64:V82)</f>
        <v>0</v>
      </c>
      <c r="W83" s="125">
        <f>SUM(W64:W82)</f>
        <v>0</v>
      </c>
    </row>
    <row r="84" spans="2:23" ht="15.75" customHeight="1" thickBot="1">
      <c r="B84" s="45" t="s">
        <v>145</v>
      </c>
      <c r="C84" s="1">
        <v>9.8000000000000007</v>
      </c>
      <c r="D84" s="1">
        <v>3.35</v>
      </c>
      <c r="E84" s="55"/>
      <c r="F84" s="123">
        <f t="shared" si="4"/>
        <v>0</v>
      </c>
      <c r="M84" s="273"/>
      <c r="N84" s="532" t="s">
        <v>154</v>
      </c>
      <c r="O84" s="532"/>
      <c r="P84" s="260">
        <f>SUM(P69:P83)</f>
        <v>0</v>
      </c>
      <c r="Q84" s="83">
        <f>SUM(Q69:Q83)</f>
        <v>0</v>
      </c>
      <c r="R84" s="273"/>
    </row>
    <row r="85" spans="2:23" ht="15.75" customHeight="1">
      <c r="B85" s="45" t="s">
        <v>145</v>
      </c>
      <c r="C85" s="1">
        <v>10</v>
      </c>
      <c r="D85" s="1">
        <v>3.5</v>
      </c>
      <c r="E85" s="55"/>
      <c r="F85" s="123">
        <f t="shared" si="4"/>
        <v>0</v>
      </c>
      <c r="M85" s="273"/>
      <c r="N85" s="273"/>
      <c r="O85" s="273"/>
      <c r="P85" s="273"/>
      <c r="Q85" s="273"/>
      <c r="R85" s="273"/>
    </row>
    <row r="86" spans="2:23" ht="15.75" customHeight="1">
      <c r="B86" s="45" t="s">
        <v>145</v>
      </c>
      <c r="C86" s="1">
        <v>10.199999999999999</v>
      </c>
      <c r="D86" s="1">
        <v>3.75</v>
      </c>
      <c r="E86" s="55"/>
      <c r="F86" s="123">
        <f>E86*D86</f>
        <v>0</v>
      </c>
      <c r="M86" s="273"/>
      <c r="N86" s="273"/>
      <c r="O86" s="273"/>
      <c r="P86" s="273"/>
      <c r="Q86" s="273"/>
      <c r="R86" s="273"/>
    </row>
    <row r="87" spans="2:23" ht="15.75" customHeight="1">
      <c r="B87" s="45" t="s">
        <v>145</v>
      </c>
      <c r="C87" s="1">
        <v>10.4</v>
      </c>
      <c r="D87" s="1">
        <v>4</v>
      </c>
      <c r="E87" s="55"/>
      <c r="F87" s="123">
        <f t="shared" ref="F87:F101" si="8">E87*D87</f>
        <v>0</v>
      </c>
      <c r="M87" s="273"/>
      <c r="N87" s="273"/>
      <c r="O87" s="273"/>
      <c r="P87" s="273"/>
      <c r="Q87" s="273"/>
      <c r="R87" s="273"/>
    </row>
    <row r="88" spans="2:23" ht="15.75" customHeight="1">
      <c r="B88" s="45" t="s">
        <v>145</v>
      </c>
      <c r="C88" s="1">
        <v>10.6</v>
      </c>
      <c r="D88" s="1">
        <v>4.25</v>
      </c>
      <c r="E88" s="55"/>
      <c r="F88" s="123">
        <f t="shared" si="8"/>
        <v>0</v>
      </c>
      <c r="M88" s="273"/>
      <c r="N88" s="273"/>
      <c r="O88" s="273"/>
      <c r="P88" s="273"/>
      <c r="Q88" s="273"/>
      <c r="R88" s="273"/>
    </row>
    <row r="89" spans="2:23">
      <c r="B89" s="45" t="s">
        <v>145</v>
      </c>
      <c r="C89" s="1">
        <v>10.8</v>
      </c>
      <c r="D89" s="1">
        <v>4.5</v>
      </c>
      <c r="E89" s="55"/>
      <c r="F89" s="123">
        <f t="shared" si="8"/>
        <v>0</v>
      </c>
      <c r="M89" s="273"/>
      <c r="N89" s="273"/>
      <c r="O89" s="273"/>
      <c r="P89" s="273"/>
      <c r="Q89" s="273"/>
      <c r="R89" s="273"/>
    </row>
    <row r="90" spans="2:23">
      <c r="B90" s="45" t="s">
        <v>145</v>
      </c>
      <c r="C90" s="1">
        <v>11</v>
      </c>
      <c r="D90" s="1">
        <v>4.75</v>
      </c>
      <c r="E90" s="55"/>
      <c r="F90" s="123">
        <f t="shared" si="8"/>
        <v>0</v>
      </c>
      <c r="M90" s="273"/>
      <c r="N90" s="273"/>
      <c r="O90" s="273"/>
      <c r="P90" s="273"/>
      <c r="Q90" s="273"/>
      <c r="R90" s="273"/>
    </row>
    <row r="91" spans="2:23">
      <c r="B91" s="45" t="s">
        <v>145</v>
      </c>
      <c r="C91" s="1">
        <v>11.2</v>
      </c>
      <c r="D91" s="1">
        <v>5</v>
      </c>
      <c r="E91" s="55"/>
      <c r="F91" s="123">
        <f t="shared" si="8"/>
        <v>0</v>
      </c>
      <c r="M91" s="273"/>
      <c r="N91" s="273"/>
      <c r="O91" s="273"/>
      <c r="P91" s="273"/>
      <c r="Q91" s="273"/>
      <c r="R91" s="273"/>
    </row>
    <row r="92" spans="2:23">
      <c r="B92" s="45" t="s">
        <v>145</v>
      </c>
      <c r="C92" s="1">
        <v>12</v>
      </c>
      <c r="D92" s="1">
        <v>6</v>
      </c>
      <c r="E92" s="55"/>
      <c r="F92" s="123">
        <f t="shared" si="8"/>
        <v>0</v>
      </c>
    </row>
    <row r="93" spans="2:23">
      <c r="B93" s="45" t="s">
        <v>145</v>
      </c>
      <c r="C93" s="1">
        <v>13</v>
      </c>
      <c r="D93" s="1">
        <v>7.75</v>
      </c>
      <c r="E93" s="55"/>
      <c r="F93" s="123">
        <f t="shared" si="8"/>
        <v>0</v>
      </c>
    </row>
    <row r="94" spans="2:23">
      <c r="B94" s="45" t="s">
        <v>145</v>
      </c>
      <c r="C94" s="1">
        <v>14</v>
      </c>
      <c r="D94" s="1">
        <v>9.65</v>
      </c>
      <c r="E94" s="55"/>
      <c r="F94" s="123">
        <f t="shared" si="8"/>
        <v>0</v>
      </c>
    </row>
    <row r="95" spans="2:23">
      <c r="B95" s="45" t="s">
        <v>145</v>
      </c>
      <c r="C95" s="1">
        <v>15</v>
      </c>
      <c r="D95" s="1">
        <v>11.85</v>
      </c>
      <c r="E95" s="55"/>
      <c r="F95" s="123">
        <f t="shared" si="8"/>
        <v>0</v>
      </c>
    </row>
    <row r="96" spans="2:23">
      <c r="B96" s="45" t="s">
        <v>145</v>
      </c>
      <c r="C96" s="1">
        <v>16</v>
      </c>
      <c r="D96" s="1">
        <v>14.35</v>
      </c>
      <c r="E96" s="55"/>
      <c r="F96" s="123">
        <f t="shared" si="8"/>
        <v>0</v>
      </c>
    </row>
    <row r="97" spans="2:6">
      <c r="B97" s="45" t="s">
        <v>145</v>
      </c>
      <c r="C97" s="1">
        <v>17</v>
      </c>
      <c r="D97" s="1">
        <v>17.25</v>
      </c>
      <c r="E97" s="55"/>
      <c r="F97" s="123">
        <f t="shared" si="8"/>
        <v>0</v>
      </c>
    </row>
    <row r="98" spans="2:6">
      <c r="B98" s="45" t="s">
        <v>145</v>
      </c>
      <c r="C98" s="1">
        <v>18</v>
      </c>
      <c r="D98" s="1">
        <v>20.5</v>
      </c>
      <c r="E98" s="55"/>
      <c r="F98" s="123">
        <f t="shared" si="8"/>
        <v>0</v>
      </c>
    </row>
    <row r="99" spans="2:6">
      <c r="B99" s="45" t="s">
        <v>145</v>
      </c>
      <c r="C99" s="1">
        <v>19</v>
      </c>
      <c r="D99" s="1">
        <v>24</v>
      </c>
      <c r="E99" s="55"/>
      <c r="F99" s="123">
        <f t="shared" si="8"/>
        <v>0</v>
      </c>
    </row>
    <row r="100" spans="2:6">
      <c r="B100" s="45" t="s">
        <v>145</v>
      </c>
      <c r="C100" s="1">
        <v>20</v>
      </c>
      <c r="D100" s="1">
        <v>28</v>
      </c>
      <c r="E100" s="55"/>
      <c r="F100" s="123">
        <f t="shared" si="8"/>
        <v>0</v>
      </c>
    </row>
    <row r="101" spans="2:6">
      <c r="B101" s="45" t="s">
        <v>145</v>
      </c>
      <c r="C101" s="1">
        <v>21</v>
      </c>
      <c r="D101" s="1">
        <v>34.799999999999997</v>
      </c>
      <c r="E101" s="55"/>
      <c r="F101" s="123">
        <f t="shared" si="8"/>
        <v>0</v>
      </c>
    </row>
    <row r="102" spans="2:6" ht="15.75" thickBot="1">
      <c r="B102" s="45" t="s">
        <v>145</v>
      </c>
      <c r="C102" s="115">
        <v>22</v>
      </c>
      <c r="D102" s="115">
        <v>41.8</v>
      </c>
      <c r="E102" s="274"/>
      <c r="F102" s="117">
        <f>E102*D102</f>
        <v>0</v>
      </c>
    </row>
    <row r="103" spans="2:6" ht="15.75" thickBot="1">
      <c r="B103" s="530" t="s">
        <v>33</v>
      </c>
      <c r="C103" s="530"/>
      <c r="D103" s="531"/>
      <c r="E103" s="275">
        <f>SUM(E9:E102)</f>
        <v>0</v>
      </c>
      <c r="F103" s="275">
        <f>SUM(F9:F102)</f>
        <v>0</v>
      </c>
    </row>
  </sheetData>
  <sheetProtection formatCells="0" formatColumns="0" formatRows="0" insertColumns="0" insertRows="0" insertHyperlinks="0" deleteColumns="0" deleteRows="0" sort="0" autoFilter="0" pivotTables="0"/>
  <protectedRanges>
    <protectedRange sqref="P9:P63" name="Range3"/>
    <protectedRange sqref="E86:E102" name="Range1_2"/>
  </protectedRanges>
  <mergeCells count="25">
    <mergeCell ref="B103:D103"/>
    <mergeCell ref="T83:U83"/>
    <mergeCell ref="N84:O84"/>
    <mergeCell ref="H59:I59"/>
    <mergeCell ref="S59:U59"/>
    <mergeCell ref="H60:I60"/>
    <mergeCell ref="H61:I61"/>
    <mergeCell ref="T61:W61"/>
    <mergeCell ref="H62:I62"/>
    <mergeCell ref="H63:I63"/>
    <mergeCell ref="H64:I64"/>
    <mergeCell ref="M64:O64"/>
    <mergeCell ref="N66:Q66"/>
    <mergeCell ref="H58:I58"/>
    <mergeCell ref="E2:W3"/>
    <mergeCell ref="D5:E5"/>
    <mergeCell ref="B6:F6"/>
    <mergeCell ref="H6:K6"/>
    <mergeCell ref="M6:Q6"/>
    <mergeCell ref="S6:W6"/>
    <mergeCell ref="S36:U36"/>
    <mergeCell ref="S38:W38"/>
    <mergeCell ref="H46:I46"/>
    <mergeCell ref="H56:I56"/>
    <mergeCell ref="H57:I57"/>
  </mergeCells>
  <conditionalFormatting sqref="H45">
    <cfRule type="containsErrors" dxfId="8" priority="1">
      <formula>ISERROR(H45)</formula>
    </cfRule>
  </conditionalFormatting>
  <dataValidations disablePrompts="1" count="6">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100-000000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100-000001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9:V65280 V130805:V130816 V196341:V196352 V261877:V261888 V327413:V327424 V392949:V392960 V458485:V458496 V524021:V524032 V589557:V589568 V655093:V655104 V720629:V720640 V786165:V786176 V851701:V851712 V917237:V917248 V982773:V982784" xr:uid="{00000000-0002-0000-0100-000002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4:V982808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90:V65304 V130826:V130840 V196362:V196376 V261898:V261912 V327434:V327448 V392970:V392984 V458506:V458520 V524042:V524056 V589578:V589592 V655114:V655128 V720650:V720664 V786186:V786200 V851722:V851736 V917258:V917272" xr:uid="{00000000-0002-0000-0100-000003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3:V65330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9:V130866 V196385:V196402 V261921:V261938 V327457:V327474 V392993:V393010 V458529:V458546 V524065:V524082 V589601:V589618 V655137:V655154 V720673:V720690 V786209:V786226 V851745:V851762 V917281:V917298 V982817:V982834" xr:uid="{00000000-0002-0000-0100-000004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8:V65350 V130874:V130886 V196410:V196422 V261946:V261958 V327482:V327494 V393018:V393030 V458554:V458566 V524090:V524102 V589626:V589638 V655162:V655174 V720698:V720710 V786234:V786246 V851770:V851782 V917306:V917318 V982842:V982854" xr:uid="{00000000-0002-0000-01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disablePrompts="1"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2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3"/>
  <sheetViews>
    <sheetView topLeftCell="A43" zoomScale="70" zoomScaleNormal="70" workbookViewId="0">
      <selection activeCell="U74" sqref="U74"/>
    </sheetView>
  </sheetViews>
  <sheetFormatPr defaultRowHeight="15"/>
  <cols>
    <col min="1" max="1" width="3.7109375" style="7" customWidth="1"/>
    <col min="2" max="2" width="13.28515625" style="7" bestFit="1" customWidth="1"/>
    <col min="3" max="3" width="11.7109375" style="7" bestFit="1" customWidth="1"/>
    <col min="4" max="4" width="10" style="7" bestFit="1" customWidth="1"/>
    <col min="5" max="5" width="10.5703125" style="8" customWidth="1"/>
    <col min="6" max="6" width="11.140625" style="7" customWidth="1"/>
    <col min="7" max="7" width="3.7109375" style="7" customWidth="1"/>
    <col min="8" max="8" width="10.85546875" style="7" bestFit="1" customWidth="1"/>
    <col min="9" max="9" width="10" style="7" bestFit="1" customWidth="1"/>
    <col min="10" max="10" width="9.140625" style="7"/>
    <col min="11" max="11" width="10.28515625" style="7" customWidth="1"/>
    <col min="12" max="12" width="3.7109375" style="7" customWidth="1"/>
    <col min="13" max="13" width="12.140625" style="7" bestFit="1" customWidth="1"/>
    <col min="14" max="14" width="11.28515625" style="7" bestFit="1" customWidth="1"/>
    <col min="15" max="16" width="9.140625" style="7" customWidth="1"/>
    <col min="17" max="17" width="9.140625" style="7"/>
    <col min="18" max="18" width="3.7109375" style="7" customWidth="1"/>
    <col min="19" max="19" width="11.85546875" style="9" bestFit="1" customWidth="1"/>
    <col min="20" max="20" width="10.85546875" style="7" bestFit="1" customWidth="1"/>
    <col min="21" max="21" width="9.28515625" style="7" bestFit="1" customWidth="1"/>
    <col min="22" max="22" width="9.140625" style="7" customWidth="1"/>
    <col min="23" max="32" width="9.140625" style="7"/>
    <col min="33" max="33" width="16.7109375" style="7" bestFit="1" customWidth="1"/>
    <col min="34" max="16384" width="9.140625" style="7"/>
  </cols>
  <sheetData>
    <row r="1" spans="1:23" ht="15.75" thickBot="1"/>
    <row r="2" spans="1:23" ht="15" customHeight="1">
      <c r="B2" s="10" t="s">
        <v>27</v>
      </c>
      <c r="C2" s="11"/>
      <c r="D2" s="11"/>
      <c r="E2" s="546" t="s">
        <v>28</v>
      </c>
      <c r="F2" s="546"/>
      <c r="G2" s="546"/>
      <c r="H2" s="546"/>
      <c r="I2" s="546"/>
      <c r="J2" s="546"/>
      <c r="K2" s="546"/>
      <c r="L2" s="546"/>
      <c r="M2" s="546"/>
      <c r="N2" s="546"/>
      <c r="O2" s="546"/>
      <c r="P2" s="546"/>
      <c r="Q2" s="546"/>
      <c r="R2" s="546"/>
      <c r="S2" s="546"/>
      <c r="T2" s="546"/>
      <c r="U2" s="546"/>
      <c r="V2" s="546"/>
      <c r="W2" s="547"/>
    </row>
    <row r="3" spans="1:23" ht="15.75" customHeight="1" thickBot="1">
      <c r="B3" s="12" t="s">
        <v>179</v>
      </c>
      <c r="C3" s="13"/>
      <c r="D3" s="13"/>
      <c r="E3" s="548"/>
      <c r="F3" s="548"/>
      <c r="G3" s="548"/>
      <c r="H3" s="548"/>
      <c r="I3" s="548"/>
      <c r="J3" s="548"/>
      <c r="K3" s="548"/>
      <c r="L3" s="548"/>
      <c r="M3" s="548"/>
      <c r="N3" s="548"/>
      <c r="O3" s="548"/>
      <c r="P3" s="548"/>
      <c r="Q3" s="548"/>
      <c r="R3" s="548"/>
      <c r="S3" s="548"/>
      <c r="T3" s="548"/>
      <c r="U3" s="548"/>
      <c r="V3" s="548"/>
      <c r="W3" s="549"/>
    </row>
    <row r="4" spans="1:23" ht="15.75" customHeight="1" thickBot="1">
      <c r="B4" s="14"/>
      <c r="C4" s="15" t="s">
        <v>30</v>
      </c>
      <c r="D4" s="14"/>
      <c r="E4" s="16"/>
      <c r="F4" s="15" t="s">
        <v>31</v>
      </c>
      <c r="G4" s="17"/>
      <c r="H4" s="17"/>
      <c r="I4" s="17"/>
      <c r="J4" s="17"/>
      <c r="K4" s="17"/>
      <c r="L4" s="17"/>
      <c r="M4" s="17"/>
      <c r="N4" s="17"/>
      <c r="O4" s="17"/>
      <c r="P4" s="17"/>
      <c r="Q4" s="17"/>
      <c r="R4" s="17"/>
      <c r="S4" s="18"/>
      <c r="T4" s="17"/>
      <c r="U4" s="17"/>
      <c r="V4" s="17"/>
      <c r="W4" s="17"/>
    </row>
    <row r="5" spans="1:23" s="19" customFormat="1" ht="24.95" customHeight="1" thickBot="1">
      <c r="B5" s="20"/>
      <c r="C5" s="21">
        <f>SUM(J64)</f>
        <v>0</v>
      </c>
      <c r="D5" s="550" t="s">
        <v>32</v>
      </c>
      <c r="E5" s="551"/>
      <c r="F5" s="22">
        <f>K64</f>
        <v>0</v>
      </c>
      <c r="H5" s="20"/>
      <c r="I5" s="20"/>
      <c r="J5" s="20"/>
      <c r="K5" s="20"/>
      <c r="M5" s="20"/>
      <c r="N5" s="20"/>
      <c r="O5" s="20"/>
      <c r="P5" s="20"/>
      <c r="Q5" s="20"/>
      <c r="S5" s="23"/>
      <c r="T5" s="20"/>
      <c r="U5" s="20"/>
      <c r="V5" s="20"/>
      <c r="W5" s="20"/>
    </row>
    <row r="6" spans="1:23" ht="15.75" customHeight="1" thickBot="1">
      <c r="B6" s="515" t="s">
        <v>33</v>
      </c>
      <c r="C6" s="516"/>
      <c r="D6" s="516"/>
      <c r="E6" s="516"/>
      <c r="F6" s="517"/>
      <c r="H6" s="518" t="s">
        <v>127</v>
      </c>
      <c r="I6" s="519"/>
      <c r="J6" s="519"/>
      <c r="K6" s="520"/>
      <c r="M6" s="518" t="s">
        <v>35</v>
      </c>
      <c r="N6" s="519"/>
      <c r="O6" s="519"/>
      <c r="P6" s="519"/>
      <c r="Q6" s="520"/>
      <c r="S6" s="518" t="s">
        <v>36</v>
      </c>
      <c r="T6" s="519"/>
      <c r="U6" s="519"/>
      <c r="V6" s="519"/>
      <c r="W6" s="520"/>
    </row>
    <row r="7" spans="1:23" ht="15.75" customHeight="1" thickBot="1">
      <c r="B7" s="24"/>
      <c r="C7" s="25"/>
      <c r="D7" s="24"/>
      <c r="E7" s="26"/>
      <c r="F7" s="27"/>
      <c r="H7" s="28"/>
      <c r="I7" s="28"/>
      <c r="J7" s="28"/>
      <c r="K7" s="28"/>
      <c r="M7" s="28"/>
      <c r="N7" s="28"/>
      <c r="O7" s="28"/>
      <c r="P7" s="28"/>
      <c r="Q7" s="28"/>
      <c r="T7" s="28"/>
      <c r="U7" s="28"/>
      <c r="V7" s="28"/>
      <c r="W7" s="29"/>
    </row>
    <row r="8" spans="1:23" ht="15.75" customHeight="1" thickBot="1">
      <c r="B8" s="30" t="s">
        <v>18</v>
      </c>
      <c r="C8" s="30" t="s">
        <v>37</v>
      </c>
      <c r="D8" s="30" t="s">
        <v>22</v>
      </c>
      <c r="E8" s="30" t="s">
        <v>21</v>
      </c>
      <c r="F8" s="30" t="s">
        <v>32</v>
      </c>
      <c r="H8" s="31" t="s">
        <v>37</v>
      </c>
      <c r="I8" s="31" t="s">
        <v>22</v>
      </c>
      <c r="J8" s="31" t="s">
        <v>21</v>
      </c>
      <c r="K8" s="31" t="s">
        <v>32</v>
      </c>
      <c r="L8" s="8"/>
      <c r="M8" s="31" t="s">
        <v>18</v>
      </c>
      <c r="N8" s="31" t="s">
        <v>37</v>
      </c>
      <c r="O8" s="31" t="s">
        <v>22</v>
      </c>
      <c r="P8" s="31" t="s">
        <v>21</v>
      </c>
      <c r="Q8" s="31" t="s">
        <v>32</v>
      </c>
      <c r="S8" s="32" t="s">
        <v>38</v>
      </c>
      <c r="T8" s="33" t="s">
        <v>37</v>
      </c>
      <c r="U8" s="33" t="s">
        <v>22</v>
      </c>
      <c r="V8" s="33" t="s">
        <v>21</v>
      </c>
      <c r="W8" s="34" t="s">
        <v>32</v>
      </c>
    </row>
    <row r="9" spans="1:23" ht="15.75" customHeight="1">
      <c r="B9" s="35" t="s">
        <v>180</v>
      </c>
      <c r="C9" s="36">
        <v>0.8</v>
      </c>
      <c r="D9" s="37">
        <v>3.0000000000000001E-3</v>
      </c>
      <c r="E9" s="38"/>
      <c r="F9" s="39">
        <f>E9*D9</f>
        <v>0</v>
      </c>
      <c r="G9" s="40"/>
      <c r="H9" s="41">
        <v>1</v>
      </c>
      <c r="I9" s="42">
        <v>3.0000000000000001E-3</v>
      </c>
      <c r="J9" s="43"/>
      <c r="K9" s="44">
        <f>J9*I9</f>
        <v>0</v>
      </c>
      <c r="L9" s="8"/>
      <c r="M9" s="45" t="s">
        <v>145</v>
      </c>
      <c r="N9" s="46">
        <v>0.9</v>
      </c>
      <c r="O9" s="47">
        <v>5.0000000000000001E-3</v>
      </c>
      <c r="P9" s="48"/>
      <c r="Q9" s="44">
        <f>P9*O9</f>
        <v>0</v>
      </c>
      <c r="R9" s="40"/>
      <c r="S9" s="49">
        <v>-7</v>
      </c>
      <c r="T9" s="50" t="s">
        <v>41</v>
      </c>
      <c r="U9" s="51">
        <v>0.05</v>
      </c>
      <c r="V9" s="43"/>
      <c r="W9" s="52">
        <f>U9*V9</f>
        <v>0</v>
      </c>
    </row>
    <row r="10" spans="1:23" ht="15.75" customHeight="1">
      <c r="A10" s="53"/>
      <c r="B10" s="54" t="s">
        <v>181</v>
      </c>
      <c r="C10" s="1">
        <v>0.9</v>
      </c>
      <c r="D10" s="55">
        <v>4.0000000000000001E-3</v>
      </c>
      <c r="E10" s="3"/>
      <c r="F10" s="56">
        <f t="shared" ref="F10:F23" si="0">E10*D10</f>
        <v>0</v>
      </c>
      <c r="G10" s="40"/>
      <c r="H10" s="5">
        <v>1.1000000000000001</v>
      </c>
      <c r="I10" s="2">
        <v>4.0000000000000001E-3</v>
      </c>
      <c r="J10" s="57"/>
      <c r="K10" s="44">
        <f t="shared" ref="K10:K45" si="1">J10*I10</f>
        <v>0</v>
      </c>
      <c r="L10" s="8"/>
      <c r="M10" s="58" t="s">
        <v>182</v>
      </c>
      <c r="N10" s="1">
        <v>1</v>
      </c>
      <c r="O10" s="2">
        <v>6.1999999999999998E-3</v>
      </c>
      <c r="P10" s="59"/>
      <c r="Q10" s="44">
        <f t="shared" ref="Q10:Q62" si="2">P10*O10</f>
        <v>0</v>
      </c>
      <c r="R10" s="40"/>
      <c r="S10" s="60">
        <v>-7</v>
      </c>
      <c r="T10" s="50" t="s">
        <v>43</v>
      </c>
      <c r="U10" s="51">
        <v>7.0000000000000007E-2</v>
      </c>
      <c r="V10" s="43"/>
      <c r="W10" s="52">
        <f>U10*V10</f>
        <v>0</v>
      </c>
    </row>
    <row r="11" spans="1:23" ht="15.75" customHeight="1">
      <c r="A11" s="53"/>
      <c r="B11" s="54" t="s">
        <v>183</v>
      </c>
      <c r="C11" s="1">
        <v>1</v>
      </c>
      <c r="D11" s="55">
        <v>5.0000000000000001E-3</v>
      </c>
      <c r="E11" s="3"/>
      <c r="F11" s="56">
        <f t="shared" si="0"/>
        <v>0</v>
      </c>
      <c r="G11" s="40"/>
      <c r="H11" s="5">
        <v>1.2</v>
      </c>
      <c r="I11" s="2">
        <v>5.0000000000000001E-3</v>
      </c>
      <c r="J11" s="57"/>
      <c r="K11" s="44">
        <f t="shared" si="1"/>
        <v>0</v>
      </c>
      <c r="L11" s="8"/>
      <c r="M11" s="58" t="s">
        <v>184</v>
      </c>
      <c r="N11" s="1">
        <v>1.1000000000000001</v>
      </c>
      <c r="O11" s="2">
        <v>8.0000000000000002E-3</v>
      </c>
      <c r="P11" s="59"/>
      <c r="Q11" s="44">
        <f t="shared" si="2"/>
        <v>0</v>
      </c>
      <c r="R11" s="53"/>
      <c r="S11" s="61" t="s">
        <v>185</v>
      </c>
      <c r="T11" s="50" t="s">
        <v>45</v>
      </c>
      <c r="U11" s="51">
        <v>0.08</v>
      </c>
      <c r="V11" s="43"/>
      <c r="W11" s="52">
        <f>U11*V11</f>
        <v>0</v>
      </c>
    </row>
    <row r="12" spans="1:23" ht="15.75" customHeight="1">
      <c r="A12" s="53"/>
      <c r="B12" s="54" t="s">
        <v>186</v>
      </c>
      <c r="C12" s="1">
        <v>1.1000000000000001</v>
      </c>
      <c r="D12" s="2">
        <v>6.0000000000000001E-3</v>
      </c>
      <c r="E12" s="3"/>
      <c r="F12" s="56">
        <f t="shared" si="0"/>
        <v>0</v>
      </c>
      <c r="G12" s="40"/>
      <c r="H12" s="5">
        <v>1.3</v>
      </c>
      <c r="I12" s="2">
        <v>6.0000000000000001E-3</v>
      </c>
      <c r="J12" s="57"/>
      <c r="K12" s="44">
        <f t="shared" si="1"/>
        <v>0</v>
      </c>
      <c r="L12" s="8"/>
      <c r="M12" s="58" t="s">
        <v>187</v>
      </c>
      <c r="N12" s="1">
        <v>1.1499999999999999</v>
      </c>
      <c r="O12" s="2">
        <v>8.9999999999999993E-3</v>
      </c>
      <c r="P12" s="59"/>
      <c r="Q12" s="44">
        <f t="shared" si="2"/>
        <v>0</v>
      </c>
      <c r="R12" s="53"/>
      <c r="S12" s="62" t="s">
        <v>185</v>
      </c>
      <c r="T12" s="6" t="s">
        <v>47</v>
      </c>
      <c r="U12" s="63">
        <v>0.09</v>
      </c>
      <c r="V12" s="57"/>
      <c r="W12" s="52">
        <f t="shared" ref="W12:W35" si="3">U12*V12</f>
        <v>0</v>
      </c>
    </row>
    <row r="13" spans="1:23" ht="15.75" customHeight="1">
      <c r="A13" s="64"/>
      <c r="B13" s="54" t="s">
        <v>188</v>
      </c>
      <c r="C13" s="1">
        <v>1.1499999999999999</v>
      </c>
      <c r="D13" s="2">
        <v>7.0000000000000001E-3</v>
      </c>
      <c r="E13" s="3"/>
      <c r="F13" s="56">
        <f t="shared" si="0"/>
        <v>0</v>
      </c>
      <c r="G13" s="53"/>
      <c r="H13" s="5">
        <v>1.4</v>
      </c>
      <c r="I13" s="2">
        <v>7.0000000000000001E-3</v>
      </c>
      <c r="J13" s="57"/>
      <c r="K13" s="44">
        <f t="shared" si="1"/>
        <v>0</v>
      </c>
      <c r="L13" s="8"/>
      <c r="M13" s="58" t="s">
        <v>189</v>
      </c>
      <c r="N13" s="1">
        <v>1.2</v>
      </c>
      <c r="O13" s="2">
        <v>0.01</v>
      </c>
      <c r="P13" s="59"/>
      <c r="Q13" s="44">
        <f t="shared" si="2"/>
        <v>0</v>
      </c>
      <c r="S13" s="62" t="s">
        <v>190</v>
      </c>
      <c r="T13" s="65" t="s">
        <v>49</v>
      </c>
      <c r="U13" s="66">
        <v>0.14000000000000001</v>
      </c>
      <c r="V13" s="57"/>
      <c r="W13" s="52">
        <f t="shared" si="3"/>
        <v>0</v>
      </c>
    </row>
    <row r="14" spans="1:23" ht="15.75" customHeight="1">
      <c r="A14" s="64"/>
      <c r="B14" s="54" t="s">
        <v>191</v>
      </c>
      <c r="C14" s="1">
        <v>1.2</v>
      </c>
      <c r="D14" s="2">
        <v>8.0000000000000002E-3</v>
      </c>
      <c r="E14" s="3"/>
      <c r="F14" s="56">
        <f t="shared" si="0"/>
        <v>0</v>
      </c>
      <c r="G14" s="53"/>
      <c r="H14" s="5">
        <v>1.5</v>
      </c>
      <c r="I14" s="2">
        <v>8.0000000000000002E-3</v>
      </c>
      <c r="J14" s="57"/>
      <c r="K14" s="44">
        <f t="shared" si="1"/>
        <v>0</v>
      </c>
      <c r="L14" s="8"/>
      <c r="M14" s="58" t="s">
        <v>192</v>
      </c>
      <c r="N14" s="1">
        <v>1.25</v>
      </c>
      <c r="O14" s="2">
        <v>1.2E-2</v>
      </c>
      <c r="P14" s="59"/>
      <c r="Q14" s="44">
        <f t="shared" si="2"/>
        <v>0</v>
      </c>
      <c r="S14" s="62" t="s">
        <v>190</v>
      </c>
      <c r="T14" s="65" t="s">
        <v>51</v>
      </c>
      <c r="U14" s="66">
        <v>0.15</v>
      </c>
      <c r="V14" s="57"/>
      <c r="W14" s="52">
        <f t="shared" si="3"/>
        <v>0</v>
      </c>
    </row>
    <row r="15" spans="1:23" ht="15.75" customHeight="1">
      <c r="A15" s="64"/>
      <c r="B15" s="54" t="s">
        <v>193</v>
      </c>
      <c r="C15" s="1">
        <v>1.25</v>
      </c>
      <c r="D15" s="2">
        <v>8.9999999999999993E-3</v>
      </c>
      <c r="E15" s="3"/>
      <c r="F15" s="56">
        <f t="shared" si="0"/>
        <v>0</v>
      </c>
      <c r="G15" s="53"/>
      <c r="H15" s="67">
        <v>1.6</v>
      </c>
      <c r="I15" s="68">
        <v>8.9999999999999993E-3</v>
      </c>
      <c r="J15" s="57"/>
      <c r="K15" s="44">
        <f t="shared" si="1"/>
        <v>0</v>
      </c>
      <c r="L15" s="8"/>
      <c r="M15" s="58" t="s">
        <v>194</v>
      </c>
      <c r="N15" s="1">
        <v>1.3</v>
      </c>
      <c r="O15" s="2">
        <v>1.7000000000000001E-2</v>
      </c>
      <c r="P15" s="59"/>
      <c r="Q15" s="44">
        <f t="shared" si="2"/>
        <v>0</v>
      </c>
      <c r="R15" s="53"/>
      <c r="S15" s="62" t="s">
        <v>195</v>
      </c>
      <c r="T15" s="65" t="s">
        <v>54</v>
      </c>
      <c r="U15" s="66">
        <v>0.2</v>
      </c>
      <c r="V15" s="57"/>
      <c r="W15" s="52">
        <f t="shared" si="3"/>
        <v>0</v>
      </c>
    </row>
    <row r="16" spans="1:23" ht="15.75" customHeight="1">
      <c r="A16" s="64"/>
      <c r="B16" s="54" t="s">
        <v>196</v>
      </c>
      <c r="C16" s="1">
        <v>1.3</v>
      </c>
      <c r="D16" s="2">
        <v>0.01</v>
      </c>
      <c r="E16" s="3"/>
      <c r="F16" s="56">
        <f t="shared" si="0"/>
        <v>0</v>
      </c>
      <c r="G16" s="64"/>
      <c r="H16" s="67">
        <v>1.7</v>
      </c>
      <c r="I16" s="68">
        <v>0.01</v>
      </c>
      <c r="J16" s="57"/>
      <c r="K16" s="44">
        <f t="shared" si="1"/>
        <v>0</v>
      </c>
      <c r="L16" s="8"/>
      <c r="M16" s="58" t="s">
        <v>197</v>
      </c>
      <c r="N16" s="55">
        <v>1.35</v>
      </c>
      <c r="O16" s="2">
        <v>1.7999999999999999E-2</v>
      </c>
      <c r="P16" s="59"/>
      <c r="Q16" s="44">
        <f t="shared" si="2"/>
        <v>0</v>
      </c>
      <c r="R16" s="53"/>
      <c r="S16" s="62" t="s">
        <v>195</v>
      </c>
      <c r="T16" s="65" t="s">
        <v>57</v>
      </c>
      <c r="U16" s="66">
        <v>0.23</v>
      </c>
      <c r="V16" s="57"/>
      <c r="W16" s="52">
        <f t="shared" si="3"/>
        <v>0</v>
      </c>
    </row>
    <row r="17" spans="1:23" ht="15.75" customHeight="1">
      <c r="A17" s="53"/>
      <c r="B17" s="54" t="s">
        <v>198</v>
      </c>
      <c r="C17" s="1">
        <v>1.35</v>
      </c>
      <c r="D17" s="2">
        <v>1.0999999999999999E-2</v>
      </c>
      <c r="E17" s="3"/>
      <c r="F17" s="56">
        <f t="shared" si="0"/>
        <v>0</v>
      </c>
      <c r="G17" s="40"/>
      <c r="H17" s="67">
        <v>1.8</v>
      </c>
      <c r="I17" s="68">
        <v>1.2E-2</v>
      </c>
      <c r="J17" s="57"/>
      <c r="K17" s="44">
        <f t="shared" si="1"/>
        <v>0</v>
      </c>
      <c r="L17" s="8"/>
      <c r="M17" s="58" t="s">
        <v>199</v>
      </c>
      <c r="N17" s="1">
        <v>1.4</v>
      </c>
      <c r="O17" s="2">
        <v>1.9E-2</v>
      </c>
      <c r="P17" s="59"/>
      <c r="Q17" s="44">
        <f t="shared" si="2"/>
        <v>0</v>
      </c>
      <c r="R17" s="53"/>
      <c r="S17" s="62" t="s">
        <v>195</v>
      </c>
      <c r="T17" s="65" t="s">
        <v>60</v>
      </c>
      <c r="U17" s="66">
        <v>0.25</v>
      </c>
      <c r="V17" s="57"/>
      <c r="W17" s="52">
        <f t="shared" si="3"/>
        <v>0</v>
      </c>
    </row>
    <row r="18" spans="1:23" ht="15.75" customHeight="1">
      <c r="A18" s="53"/>
      <c r="B18" s="54" t="s">
        <v>200</v>
      </c>
      <c r="C18" s="1">
        <v>1.4</v>
      </c>
      <c r="D18" s="2">
        <v>1.2E-2</v>
      </c>
      <c r="E18" s="3"/>
      <c r="F18" s="56">
        <f t="shared" si="0"/>
        <v>0</v>
      </c>
      <c r="G18" s="40"/>
      <c r="H18" s="67">
        <v>1.9</v>
      </c>
      <c r="I18" s="68">
        <v>1.4E-2</v>
      </c>
      <c r="J18" s="57"/>
      <c r="K18" s="44">
        <f t="shared" si="1"/>
        <v>0</v>
      </c>
      <c r="L18" s="8"/>
      <c r="M18" s="58" t="s">
        <v>201</v>
      </c>
      <c r="N18" s="55">
        <v>1.45</v>
      </c>
      <c r="O18" s="2">
        <v>0.02</v>
      </c>
      <c r="P18" s="59"/>
      <c r="Q18" s="44">
        <f t="shared" si="2"/>
        <v>0</v>
      </c>
      <c r="R18" s="69"/>
      <c r="S18" s="62" t="s">
        <v>202</v>
      </c>
      <c r="T18" s="6" t="s">
        <v>63</v>
      </c>
      <c r="U18" s="66">
        <v>0.3</v>
      </c>
      <c r="V18" s="57"/>
      <c r="W18" s="52">
        <f t="shared" si="3"/>
        <v>0</v>
      </c>
    </row>
    <row r="19" spans="1:23" ht="15.75" customHeight="1">
      <c r="A19" s="64"/>
      <c r="B19" s="54" t="s">
        <v>203</v>
      </c>
      <c r="C19" s="1">
        <v>1.45</v>
      </c>
      <c r="D19" s="2">
        <v>1.4E-2</v>
      </c>
      <c r="E19" s="3"/>
      <c r="F19" s="56">
        <f t="shared" si="0"/>
        <v>0</v>
      </c>
      <c r="G19" s="53"/>
      <c r="H19" s="5">
        <v>2</v>
      </c>
      <c r="I19" s="2">
        <v>1.6E-2</v>
      </c>
      <c r="J19" s="57"/>
      <c r="K19" s="44">
        <f t="shared" si="1"/>
        <v>0</v>
      </c>
      <c r="L19" s="8"/>
      <c r="M19" s="58" t="s">
        <v>204</v>
      </c>
      <c r="N19" s="1">
        <v>1.5</v>
      </c>
      <c r="O19" s="2">
        <v>2.5000000000000001E-2</v>
      </c>
      <c r="P19" s="59"/>
      <c r="Q19" s="44">
        <f t="shared" si="2"/>
        <v>0</v>
      </c>
      <c r="R19" s="69"/>
      <c r="S19" s="62" t="s">
        <v>202</v>
      </c>
      <c r="T19" s="4" t="s">
        <v>66</v>
      </c>
      <c r="U19" s="4">
        <v>0.33</v>
      </c>
      <c r="V19" s="57"/>
      <c r="W19" s="52">
        <f t="shared" si="3"/>
        <v>0</v>
      </c>
    </row>
    <row r="20" spans="1:23" ht="15.75" customHeight="1">
      <c r="A20" s="64"/>
      <c r="B20" s="54" t="s">
        <v>205</v>
      </c>
      <c r="C20" s="1">
        <v>1.5</v>
      </c>
      <c r="D20" s="2">
        <v>1.4999999999999999E-2</v>
      </c>
      <c r="E20" s="3"/>
      <c r="F20" s="56">
        <f t="shared" si="0"/>
        <v>0</v>
      </c>
      <c r="G20" s="53"/>
      <c r="H20" s="5">
        <v>2.1</v>
      </c>
      <c r="I20" s="2">
        <v>1.9E-2</v>
      </c>
      <c r="J20" s="57"/>
      <c r="K20" s="44">
        <f t="shared" si="1"/>
        <v>0</v>
      </c>
      <c r="L20" s="8"/>
      <c r="M20" s="58" t="s">
        <v>206</v>
      </c>
      <c r="N20" s="55">
        <v>1.55</v>
      </c>
      <c r="O20" s="2">
        <v>2.3E-2</v>
      </c>
      <c r="P20" s="59"/>
      <c r="Q20" s="44">
        <f t="shared" si="2"/>
        <v>0</v>
      </c>
      <c r="R20" s="53"/>
      <c r="S20" s="62" t="s">
        <v>202</v>
      </c>
      <c r="T20" s="4" t="s">
        <v>69</v>
      </c>
      <c r="U20" s="4">
        <v>0.4</v>
      </c>
      <c r="V20" s="57"/>
      <c r="W20" s="52">
        <f t="shared" si="3"/>
        <v>0</v>
      </c>
    </row>
    <row r="21" spans="1:23" ht="15.75" customHeight="1">
      <c r="A21" s="53"/>
      <c r="B21" s="54" t="s">
        <v>207</v>
      </c>
      <c r="C21" s="1">
        <v>1.55</v>
      </c>
      <c r="D21" s="2">
        <v>1.6E-2</v>
      </c>
      <c r="E21" s="3"/>
      <c r="F21" s="56">
        <f t="shared" si="0"/>
        <v>0</v>
      </c>
      <c r="G21" s="53"/>
      <c r="H21" s="67">
        <v>2.2000000000000002</v>
      </c>
      <c r="I21" s="68">
        <v>0.02</v>
      </c>
      <c r="J21" s="57"/>
      <c r="K21" s="44">
        <f t="shared" si="1"/>
        <v>0</v>
      </c>
      <c r="L21" s="8"/>
      <c r="M21" s="58" t="s">
        <v>208</v>
      </c>
      <c r="N21" s="1">
        <v>1.6</v>
      </c>
      <c r="O21" s="2">
        <v>0.03</v>
      </c>
      <c r="P21" s="59"/>
      <c r="Q21" s="44">
        <f t="shared" si="2"/>
        <v>0</v>
      </c>
      <c r="R21" s="53"/>
      <c r="S21" s="62" t="s">
        <v>209</v>
      </c>
      <c r="T21" s="4" t="s">
        <v>72</v>
      </c>
      <c r="U21" s="4">
        <v>0.45</v>
      </c>
      <c r="V21" s="57"/>
      <c r="W21" s="52">
        <f t="shared" si="3"/>
        <v>0</v>
      </c>
    </row>
    <row r="22" spans="1:23" ht="15.75" customHeight="1">
      <c r="A22" s="53"/>
      <c r="B22" s="54" t="s">
        <v>210</v>
      </c>
      <c r="C22" s="1">
        <v>1.6</v>
      </c>
      <c r="D22" s="2">
        <v>1.7999999999999999E-2</v>
      </c>
      <c r="E22" s="3"/>
      <c r="F22" s="56">
        <f t="shared" si="0"/>
        <v>0</v>
      </c>
      <c r="G22" s="40"/>
      <c r="H22" s="67">
        <v>2.2999999999999998</v>
      </c>
      <c r="I22" s="68">
        <v>2.1000000000000001E-2</v>
      </c>
      <c r="J22" s="57"/>
      <c r="K22" s="44">
        <f t="shared" si="1"/>
        <v>0</v>
      </c>
      <c r="L22" s="8"/>
      <c r="M22" s="58" t="s">
        <v>211</v>
      </c>
      <c r="N22" s="1">
        <v>1.7</v>
      </c>
      <c r="O22" s="2">
        <v>3.5000000000000003E-2</v>
      </c>
      <c r="P22" s="59"/>
      <c r="Q22" s="44">
        <f t="shared" si="2"/>
        <v>0</v>
      </c>
      <c r="R22" s="53"/>
      <c r="S22" s="62" t="s">
        <v>209</v>
      </c>
      <c r="T22" s="4" t="s">
        <v>212</v>
      </c>
      <c r="U22" s="4">
        <v>0.5</v>
      </c>
      <c r="V22" s="57"/>
      <c r="W22" s="52">
        <f t="shared" si="3"/>
        <v>0</v>
      </c>
    </row>
    <row r="23" spans="1:23" ht="15.75" customHeight="1" thickBot="1">
      <c r="A23" s="53"/>
      <c r="B23" s="70" t="s">
        <v>213</v>
      </c>
      <c r="C23" s="71">
        <v>1.7</v>
      </c>
      <c r="D23" s="72">
        <v>0.02</v>
      </c>
      <c r="E23" s="73"/>
      <c r="F23" s="74">
        <f t="shared" si="0"/>
        <v>0</v>
      </c>
      <c r="G23" s="53"/>
      <c r="H23" s="67">
        <v>2.4</v>
      </c>
      <c r="I23" s="68">
        <v>2.3E-2</v>
      </c>
      <c r="J23" s="57"/>
      <c r="K23" s="44">
        <f t="shared" si="1"/>
        <v>0</v>
      </c>
      <c r="L23" s="8"/>
      <c r="M23" s="58" t="s">
        <v>214</v>
      </c>
      <c r="N23" s="1">
        <v>1.8</v>
      </c>
      <c r="O23" s="2">
        <v>0.04</v>
      </c>
      <c r="P23" s="59"/>
      <c r="Q23" s="44">
        <f t="shared" si="2"/>
        <v>0</v>
      </c>
      <c r="R23" s="53"/>
      <c r="S23" s="62" t="s">
        <v>215</v>
      </c>
      <c r="T23" s="4" t="s">
        <v>77</v>
      </c>
      <c r="U23" s="4">
        <v>0.6</v>
      </c>
      <c r="V23" s="57"/>
      <c r="W23" s="52">
        <f t="shared" si="3"/>
        <v>0</v>
      </c>
    </row>
    <row r="24" spans="1:23" ht="15.75" customHeight="1" thickBot="1">
      <c r="B24" s="75" t="s">
        <v>78</v>
      </c>
      <c r="C24" s="76"/>
      <c r="D24" s="77"/>
      <c r="F24" s="77"/>
      <c r="G24" s="53"/>
      <c r="H24" s="67">
        <v>2.5</v>
      </c>
      <c r="I24" s="68">
        <v>2.5000000000000001E-2</v>
      </c>
      <c r="J24" s="57"/>
      <c r="K24" s="44">
        <f t="shared" si="1"/>
        <v>0</v>
      </c>
      <c r="L24" s="8"/>
      <c r="M24" s="58" t="s">
        <v>216</v>
      </c>
      <c r="N24" s="1">
        <v>1.9</v>
      </c>
      <c r="O24" s="2">
        <v>4.4999999999999998E-2</v>
      </c>
      <c r="P24" s="59"/>
      <c r="Q24" s="44">
        <f t="shared" si="2"/>
        <v>0</v>
      </c>
      <c r="R24" s="53"/>
      <c r="S24" s="62" t="s">
        <v>215</v>
      </c>
      <c r="T24" s="4" t="s">
        <v>217</v>
      </c>
      <c r="U24" s="4">
        <v>0.7</v>
      </c>
      <c r="V24" s="57"/>
      <c r="W24" s="52">
        <f t="shared" si="3"/>
        <v>0</v>
      </c>
    </row>
    <row r="25" spans="1:23" ht="15.75" customHeight="1">
      <c r="A25" s="53"/>
      <c r="B25" s="35" t="s">
        <v>218</v>
      </c>
      <c r="C25" s="36">
        <v>1.8</v>
      </c>
      <c r="D25" s="78">
        <v>2.5000000000000001E-2</v>
      </c>
      <c r="E25" s="38"/>
      <c r="F25" s="39">
        <f t="shared" ref="F25:F85" si="4">E25*D25</f>
        <v>0</v>
      </c>
      <c r="G25" s="53"/>
      <c r="H25" s="67">
        <v>2.6</v>
      </c>
      <c r="I25" s="68">
        <v>2.9000000000000001E-2</v>
      </c>
      <c r="J25" s="57"/>
      <c r="K25" s="44">
        <f t="shared" si="1"/>
        <v>0</v>
      </c>
      <c r="L25" s="8"/>
      <c r="M25" s="58" t="s">
        <v>219</v>
      </c>
      <c r="N25" s="1">
        <v>2</v>
      </c>
      <c r="O25" s="2">
        <v>0.05</v>
      </c>
      <c r="P25" s="59"/>
      <c r="Q25" s="44">
        <f t="shared" si="2"/>
        <v>0</v>
      </c>
      <c r="R25" s="53"/>
      <c r="S25" s="62" t="s">
        <v>220</v>
      </c>
      <c r="T25" s="4" t="s">
        <v>221</v>
      </c>
      <c r="U25" s="4">
        <v>0.75</v>
      </c>
      <c r="V25" s="57"/>
      <c r="W25" s="52">
        <f t="shared" si="3"/>
        <v>0</v>
      </c>
    </row>
    <row r="26" spans="1:23" ht="15.75" customHeight="1">
      <c r="A26" s="53"/>
      <c r="B26" s="54" t="s">
        <v>222</v>
      </c>
      <c r="C26" s="1">
        <v>1.9</v>
      </c>
      <c r="D26" s="2">
        <v>0.03</v>
      </c>
      <c r="E26" s="3"/>
      <c r="F26" s="56">
        <f t="shared" si="4"/>
        <v>0</v>
      </c>
      <c r="G26" s="64"/>
      <c r="H26" s="67">
        <v>2.7</v>
      </c>
      <c r="I26" s="68">
        <v>3.2000000000000001E-2</v>
      </c>
      <c r="J26" s="57"/>
      <c r="K26" s="44">
        <f t="shared" si="1"/>
        <v>0</v>
      </c>
      <c r="L26" s="8"/>
      <c r="M26" s="58" t="s">
        <v>223</v>
      </c>
      <c r="N26" s="1">
        <v>2.1</v>
      </c>
      <c r="O26" s="2">
        <v>0.06</v>
      </c>
      <c r="P26" s="59"/>
      <c r="Q26" s="44">
        <f t="shared" si="2"/>
        <v>0</v>
      </c>
      <c r="R26" s="53"/>
      <c r="S26" s="62" t="s">
        <v>224</v>
      </c>
      <c r="T26" s="4" t="s">
        <v>225</v>
      </c>
      <c r="U26" s="4">
        <v>0.78</v>
      </c>
      <c r="V26" s="57"/>
      <c r="W26" s="52">
        <f t="shared" si="3"/>
        <v>0</v>
      </c>
    </row>
    <row r="27" spans="1:23" ht="15.75" customHeight="1">
      <c r="A27" s="53"/>
      <c r="B27" s="54" t="s">
        <v>226</v>
      </c>
      <c r="C27" s="1">
        <v>2</v>
      </c>
      <c r="D27" s="2">
        <v>3.5000000000000003E-2</v>
      </c>
      <c r="E27" s="3"/>
      <c r="F27" s="56">
        <f t="shared" si="4"/>
        <v>0</v>
      </c>
      <c r="G27" s="40"/>
      <c r="H27" s="5">
        <v>2.8</v>
      </c>
      <c r="I27" s="2">
        <v>3.5000000000000003E-2</v>
      </c>
      <c r="J27" s="57"/>
      <c r="K27" s="44">
        <f t="shared" si="1"/>
        <v>0</v>
      </c>
      <c r="L27" s="8"/>
      <c r="M27" s="58" t="s">
        <v>227</v>
      </c>
      <c r="N27" s="1">
        <v>2.2000000000000002</v>
      </c>
      <c r="O27" s="2">
        <v>7.0000000000000007E-2</v>
      </c>
      <c r="P27" s="59"/>
      <c r="Q27" s="44">
        <f t="shared" si="2"/>
        <v>0</v>
      </c>
      <c r="R27" s="53"/>
      <c r="S27" s="62" t="s">
        <v>224</v>
      </c>
      <c r="T27" s="4" t="s">
        <v>228</v>
      </c>
      <c r="U27" s="4">
        <v>0.9</v>
      </c>
      <c r="V27" s="57"/>
      <c r="W27" s="52">
        <f t="shared" si="3"/>
        <v>0</v>
      </c>
    </row>
    <row r="28" spans="1:23" ht="15.75" customHeight="1">
      <c r="A28" s="53"/>
      <c r="B28" s="54" t="s">
        <v>229</v>
      </c>
      <c r="C28" s="1">
        <v>2.1</v>
      </c>
      <c r="D28" s="2">
        <v>0.04</v>
      </c>
      <c r="E28" s="3"/>
      <c r="F28" s="56">
        <f t="shared" si="4"/>
        <v>0</v>
      </c>
      <c r="G28" s="53"/>
      <c r="H28" s="5">
        <v>2.9</v>
      </c>
      <c r="I28" s="2">
        <v>3.7999999999999999E-2</v>
      </c>
      <c r="J28" s="57"/>
      <c r="K28" s="44">
        <f t="shared" si="1"/>
        <v>0</v>
      </c>
      <c r="L28" s="8"/>
      <c r="M28" s="58" t="s">
        <v>230</v>
      </c>
      <c r="N28" s="1">
        <v>2.2999999999999998</v>
      </c>
      <c r="O28" s="2">
        <v>0.08</v>
      </c>
      <c r="P28" s="59"/>
      <c r="Q28" s="44">
        <f t="shared" si="2"/>
        <v>0</v>
      </c>
      <c r="R28" s="53"/>
      <c r="S28" s="45" t="s">
        <v>145</v>
      </c>
      <c r="T28" s="4" t="s">
        <v>231</v>
      </c>
      <c r="U28" s="4">
        <v>1</v>
      </c>
      <c r="V28" s="57"/>
      <c r="W28" s="52">
        <f t="shared" si="3"/>
        <v>0</v>
      </c>
    </row>
    <row r="29" spans="1:23" ht="15.75" customHeight="1">
      <c r="A29" s="53"/>
      <c r="B29" s="54" t="s">
        <v>232</v>
      </c>
      <c r="C29" s="1">
        <v>2.2000000000000002</v>
      </c>
      <c r="D29" s="2">
        <v>4.4999999999999998E-2</v>
      </c>
      <c r="E29" s="3"/>
      <c r="F29" s="56">
        <f t="shared" si="4"/>
        <v>0</v>
      </c>
      <c r="G29" s="53"/>
      <c r="H29" s="67">
        <v>3</v>
      </c>
      <c r="I29" s="68">
        <v>4.1000000000000002E-2</v>
      </c>
      <c r="J29" s="57"/>
      <c r="K29" s="44">
        <f t="shared" si="1"/>
        <v>0</v>
      </c>
      <c r="L29" s="8"/>
      <c r="M29" s="58" t="s">
        <v>233</v>
      </c>
      <c r="N29" s="1">
        <v>2.4</v>
      </c>
      <c r="O29" s="2">
        <v>0.09</v>
      </c>
      <c r="P29" s="59"/>
      <c r="Q29" s="44">
        <f t="shared" si="2"/>
        <v>0</v>
      </c>
      <c r="R29" s="53"/>
      <c r="S29" s="45" t="s">
        <v>145</v>
      </c>
      <c r="T29" s="4" t="s">
        <v>234</v>
      </c>
      <c r="U29" s="4">
        <v>1.5</v>
      </c>
      <c r="V29" s="57"/>
      <c r="W29" s="52">
        <f t="shared" si="3"/>
        <v>0</v>
      </c>
    </row>
    <row r="30" spans="1:23" ht="15.75" customHeight="1">
      <c r="A30" s="53"/>
      <c r="B30" s="54" t="s">
        <v>235</v>
      </c>
      <c r="C30" s="1">
        <v>2.2999999999999998</v>
      </c>
      <c r="D30" s="2">
        <v>0.05</v>
      </c>
      <c r="E30" s="3"/>
      <c r="F30" s="56">
        <f t="shared" si="4"/>
        <v>0</v>
      </c>
      <c r="G30" s="53"/>
      <c r="H30" s="67">
        <v>3.1</v>
      </c>
      <c r="I30" s="68">
        <v>4.4999999999999998E-2</v>
      </c>
      <c r="J30" s="57"/>
      <c r="K30" s="44">
        <f t="shared" si="1"/>
        <v>0</v>
      </c>
      <c r="L30" s="8"/>
      <c r="M30" s="58" t="s">
        <v>236</v>
      </c>
      <c r="N30" s="1">
        <v>2.5</v>
      </c>
      <c r="O30" s="2">
        <v>0.1</v>
      </c>
      <c r="P30" s="59"/>
      <c r="Q30" s="44">
        <f t="shared" si="2"/>
        <v>0</v>
      </c>
      <c r="R30" s="53"/>
      <c r="S30" s="45" t="s">
        <v>145</v>
      </c>
      <c r="T30" s="4" t="s">
        <v>89</v>
      </c>
      <c r="U30" s="4">
        <v>2</v>
      </c>
      <c r="V30" s="57"/>
      <c r="W30" s="52">
        <f t="shared" si="3"/>
        <v>0</v>
      </c>
    </row>
    <row r="31" spans="1:23" ht="15.75" customHeight="1">
      <c r="A31" s="53"/>
      <c r="B31" s="54" t="s">
        <v>237</v>
      </c>
      <c r="C31" s="1">
        <v>2.4</v>
      </c>
      <c r="D31" s="2">
        <v>0.06</v>
      </c>
      <c r="E31" s="3"/>
      <c r="F31" s="56">
        <f t="shared" si="4"/>
        <v>0</v>
      </c>
      <c r="G31" s="64"/>
      <c r="H31" s="67">
        <v>3.2</v>
      </c>
      <c r="I31" s="68">
        <v>0.05</v>
      </c>
      <c r="J31" s="57"/>
      <c r="K31" s="44">
        <f t="shared" si="1"/>
        <v>0</v>
      </c>
      <c r="L31" s="8"/>
      <c r="M31" s="58" t="s">
        <v>238</v>
      </c>
      <c r="N31" s="1">
        <v>2.6</v>
      </c>
      <c r="O31" s="2">
        <v>0.11</v>
      </c>
      <c r="P31" s="59"/>
      <c r="Q31" s="44">
        <f t="shared" si="2"/>
        <v>0</v>
      </c>
      <c r="R31" s="53"/>
      <c r="S31" s="45" t="s">
        <v>145</v>
      </c>
      <c r="T31" s="4" t="s">
        <v>91</v>
      </c>
      <c r="U31" s="4">
        <v>2.25</v>
      </c>
      <c r="V31" s="57"/>
      <c r="W31" s="52">
        <f t="shared" si="3"/>
        <v>0</v>
      </c>
    </row>
    <row r="32" spans="1:23" ht="15.75" customHeight="1">
      <c r="A32" s="64"/>
      <c r="B32" s="54" t="s">
        <v>239</v>
      </c>
      <c r="C32" s="1">
        <v>2.5</v>
      </c>
      <c r="D32" s="2">
        <v>6.5000000000000002E-2</v>
      </c>
      <c r="E32" s="3"/>
      <c r="F32" s="56">
        <f t="shared" si="4"/>
        <v>0</v>
      </c>
      <c r="G32" s="40"/>
      <c r="H32" s="67">
        <v>3.3</v>
      </c>
      <c r="I32" s="68">
        <v>5.1999999999999998E-2</v>
      </c>
      <c r="J32" s="57"/>
      <c r="K32" s="44">
        <f t="shared" si="1"/>
        <v>0</v>
      </c>
      <c r="L32" s="8"/>
      <c r="M32" s="58" t="s">
        <v>240</v>
      </c>
      <c r="N32" s="1">
        <v>2.7</v>
      </c>
      <c r="O32" s="2">
        <v>0.123</v>
      </c>
      <c r="P32" s="59"/>
      <c r="Q32" s="44">
        <f t="shared" si="2"/>
        <v>0</v>
      </c>
      <c r="R32" s="53"/>
      <c r="S32" s="45" t="s">
        <v>145</v>
      </c>
      <c r="T32" s="4" t="s">
        <v>93</v>
      </c>
      <c r="U32" s="4">
        <v>3</v>
      </c>
      <c r="V32" s="57"/>
      <c r="W32" s="52">
        <f t="shared" si="3"/>
        <v>0</v>
      </c>
    </row>
    <row r="33" spans="1:23" ht="15.75" customHeight="1">
      <c r="A33" s="40"/>
      <c r="B33" s="54" t="s">
        <v>241</v>
      </c>
      <c r="C33" s="1">
        <v>2.6</v>
      </c>
      <c r="D33" s="2">
        <v>7.0000000000000007E-2</v>
      </c>
      <c r="E33" s="3"/>
      <c r="F33" s="56">
        <f t="shared" si="4"/>
        <v>0</v>
      </c>
      <c r="G33" s="53"/>
      <c r="H33" s="5">
        <v>3.4</v>
      </c>
      <c r="I33" s="2">
        <v>6.6000000000000003E-2</v>
      </c>
      <c r="J33" s="57"/>
      <c r="K33" s="44">
        <f t="shared" si="1"/>
        <v>0</v>
      </c>
      <c r="L33" s="8"/>
      <c r="M33" s="58" t="s">
        <v>242</v>
      </c>
      <c r="N33" s="1">
        <v>2.8</v>
      </c>
      <c r="O33" s="2">
        <v>0.13700000000000001</v>
      </c>
      <c r="P33" s="59"/>
      <c r="Q33" s="44">
        <f t="shared" si="2"/>
        <v>0</v>
      </c>
      <c r="R33" s="53"/>
      <c r="S33" s="45" t="s">
        <v>145</v>
      </c>
      <c r="T33" s="4" t="s">
        <v>95</v>
      </c>
      <c r="U33" s="4">
        <v>3.5</v>
      </c>
      <c r="V33" s="57"/>
      <c r="W33" s="52">
        <f t="shared" si="3"/>
        <v>0</v>
      </c>
    </row>
    <row r="34" spans="1:23" ht="15.75" customHeight="1">
      <c r="A34" s="53"/>
      <c r="B34" s="54" t="s">
        <v>243</v>
      </c>
      <c r="C34" s="4">
        <v>2.7</v>
      </c>
      <c r="D34" s="2">
        <v>0.08</v>
      </c>
      <c r="E34" s="3"/>
      <c r="F34" s="56">
        <f t="shared" si="4"/>
        <v>0</v>
      </c>
      <c r="G34" s="53"/>
      <c r="H34" s="5">
        <v>3.5</v>
      </c>
      <c r="I34" s="2">
        <v>7.5999999999999998E-2</v>
      </c>
      <c r="J34" s="57"/>
      <c r="K34" s="44">
        <f t="shared" si="1"/>
        <v>0</v>
      </c>
      <c r="L34" s="8"/>
      <c r="M34" s="58" t="s">
        <v>244</v>
      </c>
      <c r="N34" s="1">
        <v>2.9</v>
      </c>
      <c r="O34" s="2">
        <v>0.15</v>
      </c>
      <c r="P34" s="59"/>
      <c r="Q34" s="44">
        <f t="shared" si="2"/>
        <v>0</v>
      </c>
      <c r="S34" s="45" t="s">
        <v>145</v>
      </c>
      <c r="T34" s="79" t="s">
        <v>97</v>
      </c>
      <c r="U34" s="4">
        <v>5.5</v>
      </c>
      <c r="V34" s="57"/>
      <c r="W34" s="52">
        <f t="shared" si="3"/>
        <v>0</v>
      </c>
    </row>
    <row r="35" spans="1:23" ht="15.75" customHeight="1" thickBot="1">
      <c r="A35" s="53"/>
      <c r="B35" s="54" t="s">
        <v>245</v>
      </c>
      <c r="C35" s="4">
        <v>2.8</v>
      </c>
      <c r="D35" s="2">
        <v>0.09</v>
      </c>
      <c r="E35" s="3"/>
      <c r="F35" s="56">
        <f t="shared" si="4"/>
        <v>0</v>
      </c>
      <c r="G35" s="53"/>
      <c r="H35" s="67">
        <v>3.6</v>
      </c>
      <c r="I35" s="68">
        <v>0.08</v>
      </c>
      <c r="J35" s="57"/>
      <c r="K35" s="44">
        <f t="shared" si="1"/>
        <v>0</v>
      </c>
      <c r="L35" s="8"/>
      <c r="M35" s="58" t="s">
        <v>246</v>
      </c>
      <c r="N35" s="1">
        <v>3</v>
      </c>
      <c r="O35" s="2">
        <v>0.16900000000000001</v>
      </c>
      <c r="P35" s="59"/>
      <c r="Q35" s="44">
        <f t="shared" si="2"/>
        <v>0</v>
      </c>
      <c r="S35" s="45" t="s">
        <v>145</v>
      </c>
      <c r="T35" s="80" t="s">
        <v>99</v>
      </c>
      <c r="U35" s="80">
        <v>8.6</v>
      </c>
      <c r="V35" s="81"/>
      <c r="W35" s="52">
        <f t="shared" si="3"/>
        <v>0</v>
      </c>
    </row>
    <row r="36" spans="1:23" ht="15.75" customHeight="1" thickBot="1">
      <c r="A36" s="40"/>
      <c r="B36" s="54" t="s">
        <v>247</v>
      </c>
      <c r="C36" s="4">
        <v>2.9</v>
      </c>
      <c r="D36" s="2">
        <v>0.1</v>
      </c>
      <c r="E36" s="3"/>
      <c r="F36" s="56">
        <f t="shared" si="4"/>
        <v>0</v>
      </c>
      <c r="G36" s="64"/>
      <c r="H36" s="67">
        <v>3.7</v>
      </c>
      <c r="I36" s="68">
        <v>8.4000000000000005E-2</v>
      </c>
      <c r="J36" s="57"/>
      <c r="K36" s="44">
        <f t="shared" si="1"/>
        <v>0</v>
      </c>
      <c r="L36" s="8"/>
      <c r="M36" s="58" t="s">
        <v>248</v>
      </c>
      <c r="N36" s="1">
        <v>3.1</v>
      </c>
      <c r="O36" s="2">
        <v>0.186</v>
      </c>
      <c r="P36" s="59"/>
      <c r="Q36" s="44">
        <f t="shared" si="2"/>
        <v>0</v>
      </c>
      <c r="S36" s="521" t="s">
        <v>36</v>
      </c>
      <c r="T36" s="522"/>
      <c r="U36" s="523"/>
      <c r="V36" s="82">
        <f>SUM(V9:V35)</f>
        <v>0</v>
      </c>
      <c r="W36" s="83">
        <f>SUM(W9:W35)</f>
        <v>0</v>
      </c>
    </row>
    <row r="37" spans="1:23" ht="15.75" customHeight="1" thickBot="1">
      <c r="A37" s="53"/>
      <c r="B37" s="54" t="s">
        <v>249</v>
      </c>
      <c r="C37" s="1">
        <v>3</v>
      </c>
      <c r="D37" s="2">
        <v>0.11</v>
      </c>
      <c r="E37" s="3"/>
      <c r="F37" s="56">
        <f t="shared" si="4"/>
        <v>0</v>
      </c>
      <c r="G37" s="40"/>
      <c r="H37" s="67">
        <v>3.8</v>
      </c>
      <c r="I37" s="68">
        <v>0.1</v>
      </c>
      <c r="J37" s="57"/>
      <c r="K37" s="44">
        <f t="shared" si="1"/>
        <v>0</v>
      </c>
      <c r="L37" s="8"/>
      <c r="M37" s="58" t="s">
        <v>250</v>
      </c>
      <c r="N37" s="1">
        <v>3.2</v>
      </c>
      <c r="O37" s="2">
        <v>0.2</v>
      </c>
      <c r="P37" s="59"/>
      <c r="Q37" s="44">
        <f t="shared" si="2"/>
        <v>0</v>
      </c>
      <c r="S37" s="84"/>
      <c r="T37" s="84"/>
      <c r="U37" s="84"/>
      <c r="V37" s="85"/>
      <c r="W37" s="84"/>
    </row>
    <row r="38" spans="1:23" ht="15.75" customHeight="1" thickBot="1">
      <c r="A38" s="64"/>
      <c r="B38" s="54" t="s">
        <v>251</v>
      </c>
      <c r="C38" s="1">
        <v>3.1</v>
      </c>
      <c r="D38" s="2">
        <v>0.12</v>
      </c>
      <c r="E38" s="3"/>
      <c r="F38" s="56">
        <f t="shared" si="4"/>
        <v>0</v>
      </c>
      <c r="G38" s="40"/>
      <c r="H38" s="5">
        <v>3.9</v>
      </c>
      <c r="I38" s="2">
        <v>0.11</v>
      </c>
      <c r="J38" s="57"/>
      <c r="K38" s="44">
        <f t="shared" si="1"/>
        <v>0</v>
      </c>
      <c r="L38" s="8"/>
      <c r="M38" s="58" t="s">
        <v>252</v>
      </c>
      <c r="N38" s="1">
        <v>3.3</v>
      </c>
      <c r="O38" s="2">
        <v>0.224</v>
      </c>
      <c r="P38" s="59"/>
      <c r="Q38" s="44">
        <f t="shared" si="2"/>
        <v>0</v>
      </c>
      <c r="S38" s="524" t="s">
        <v>105</v>
      </c>
      <c r="T38" s="525"/>
      <c r="U38" s="525"/>
      <c r="V38" s="525"/>
      <c r="W38" s="526"/>
    </row>
    <row r="39" spans="1:23" ht="15.75" customHeight="1" thickBot="1">
      <c r="A39" s="40"/>
      <c r="B39" s="54" t="s">
        <v>253</v>
      </c>
      <c r="C39" s="1">
        <v>3.2</v>
      </c>
      <c r="D39" s="2">
        <v>0.13</v>
      </c>
      <c r="E39" s="3"/>
      <c r="F39" s="56">
        <f t="shared" si="4"/>
        <v>0</v>
      </c>
      <c r="G39" s="40"/>
      <c r="H39" s="5">
        <v>4</v>
      </c>
      <c r="I39" s="2">
        <v>0.122</v>
      </c>
      <c r="J39" s="57"/>
      <c r="K39" s="44">
        <f t="shared" si="1"/>
        <v>0</v>
      </c>
      <c r="L39" s="8"/>
      <c r="M39" s="58" t="s">
        <v>254</v>
      </c>
      <c r="N39" s="1">
        <v>3.4</v>
      </c>
      <c r="O39" s="2">
        <v>0.25</v>
      </c>
      <c r="P39" s="59"/>
      <c r="Q39" s="44">
        <f t="shared" si="2"/>
        <v>0</v>
      </c>
      <c r="S39" s="214" t="s">
        <v>38</v>
      </c>
      <c r="T39" s="86" t="s">
        <v>37</v>
      </c>
      <c r="U39" s="86" t="s">
        <v>22</v>
      </c>
      <c r="V39" s="86" t="s">
        <v>21</v>
      </c>
      <c r="W39" s="86" t="s">
        <v>32</v>
      </c>
    </row>
    <row r="40" spans="1:23" ht="15.75" customHeight="1">
      <c r="A40" s="53"/>
      <c r="B40" s="87" t="s">
        <v>255</v>
      </c>
      <c r="C40" s="4">
        <v>3.3</v>
      </c>
      <c r="D40" s="68">
        <v>0.14599999999999999</v>
      </c>
      <c r="E40" s="3"/>
      <c r="F40" s="56">
        <f t="shared" si="4"/>
        <v>0</v>
      </c>
      <c r="G40" s="40"/>
      <c r="H40" s="5">
        <v>4.0999999999999996</v>
      </c>
      <c r="I40" s="2">
        <v>0.13</v>
      </c>
      <c r="J40" s="57"/>
      <c r="K40" s="44">
        <f t="shared" si="1"/>
        <v>0</v>
      </c>
      <c r="L40" s="8"/>
      <c r="M40" s="58" t="s">
        <v>256</v>
      </c>
      <c r="N40" s="1">
        <v>3.5</v>
      </c>
      <c r="O40" s="2">
        <v>0.26800000000000002</v>
      </c>
      <c r="P40" s="59"/>
      <c r="Q40" s="44">
        <f t="shared" si="2"/>
        <v>0</v>
      </c>
      <c r="S40" s="45" t="s">
        <v>145</v>
      </c>
      <c r="T40" s="43" t="s">
        <v>110</v>
      </c>
      <c r="U40" s="88">
        <v>0.03</v>
      </c>
      <c r="V40" s="89"/>
      <c r="W40" s="90">
        <f>U40*V40</f>
        <v>0</v>
      </c>
    </row>
    <row r="41" spans="1:23" ht="15.75" customHeight="1">
      <c r="A41" s="53"/>
      <c r="B41" s="54" t="s">
        <v>257</v>
      </c>
      <c r="C41" s="1">
        <v>3.4</v>
      </c>
      <c r="D41" s="2">
        <v>0.153</v>
      </c>
      <c r="E41" s="3"/>
      <c r="F41" s="56">
        <f t="shared" si="4"/>
        <v>0</v>
      </c>
      <c r="G41" s="40"/>
      <c r="H41" s="5">
        <v>4.2</v>
      </c>
      <c r="I41" s="2">
        <v>0.14799999999999999</v>
      </c>
      <c r="J41" s="57"/>
      <c r="K41" s="44">
        <f t="shared" si="1"/>
        <v>0</v>
      </c>
      <c r="L41" s="8"/>
      <c r="M41" s="58" t="s">
        <v>258</v>
      </c>
      <c r="N41" s="1">
        <v>3.6</v>
      </c>
      <c r="O41" s="2">
        <v>0.29099999999999998</v>
      </c>
      <c r="P41" s="59"/>
      <c r="Q41" s="44">
        <f t="shared" si="2"/>
        <v>0</v>
      </c>
      <c r="S41" s="45" t="s">
        <v>145</v>
      </c>
      <c r="T41" s="43" t="s">
        <v>113</v>
      </c>
      <c r="U41" s="88">
        <v>4.4999999999999998E-2</v>
      </c>
      <c r="V41" s="43"/>
      <c r="W41" s="90">
        <f>U41*V41</f>
        <v>0</v>
      </c>
    </row>
    <row r="42" spans="1:23" ht="15.75" customHeight="1">
      <c r="A42" s="40"/>
      <c r="B42" s="54" t="s">
        <v>259</v>
      </c>
      <c r="C42" s="4">
        <v>3.5</v>
      </c>
      <c r="D42" s="2">
        <v>0.16500000000000001</v>
      </c>
      <c r="E42" s="3"/>
      <c r="F42" s="56">
        <f t="shared" si="4"/>
        <v>0</v>
      </c>
      <c r="G42" s="40"/>
      <c r="H42" s="5">
        <v>4.3</v>
      </c>
      <c r="I42" s="2">
        <v>0.15</v>
      </c>
      <c r="J42" s="57"/>
      <c r="K42" s="44">
        <f t="shared" si="1"/>
        <v>0</v>
      </c>
      <c r="L42" s="8"/>
      <c r="M42" s="58" t="s">
        <v>260</v>
      </c>
      <c r="N42" s="1">
        <v>3.7</v>
      </c>
      <c r="O42" s="2">
        <v>0.316</v>
      </c>
      <c r="P42" s="59"/>
      <c r="Q42" s="44">
        <f t="shared" si="2"/>
        <v>0</v>
      </c>
      <c r="R42" s="40"/>
      <c r="S42" s="45" t="s">
        <v>145</v>
      </c>
      <c r="T42" s="57" t="s">
        <v>116</v>
      </c>
      <c r="U42" s="91">
        <v>5.5E-2</v>
      </c>
      <c r="V42" s="57"/>
      <c r="W42" s="90">
        <f t="shared" ref="W42:W58" si="5">U42*V42</f>
        <v>0</v>
      </c>
    </row>
    <row r="43" spans="1:23" ht="15.75" customHeight="1">
      <c r="A43" s="53"/>
      <c r="B43" s="54" t="s">
        <v>261</v>
      </c>
      <c r="C43" s="1">
        <v>3.6</v>
      </c>
      <c r="D43" s="2">
        <v>0.19500000000000001</v>
      </c>
      <c r="E43" s="3"/>
      <c r="F43" s="56">
        <f t="shared" si="4"/>
        <v>0</v>
      </c>
      <c r="G43" s="40"/>
      <c r="H43" s="5">
        <v>4.4000000000000004</v>
      </c>
      <c r="I43" s="2">
        <v>0.16400000000000001</v>
      </c>
      <c r="J43" s="57"/>
      <c r="K43" s="44">
        <f t="shared" si="1"/>
        <v>0</v>
      </c>
      <c r="L43" s="8"/>
      <c r="M43" s="58" t="s">
        <v>262</v>
      </c>
      <c r="N43" s="1">
        <v>3.8</v>
      </c>
      <c r="O43" s="2">
        <v>0.33</v>
      </c>
      <c r="P43" s="59"/>
      <c r="Q43" s="44">
        <f t="shared" si="2"/>
        <v>0</v>
      </c>
      <c r="R43" s="64"/>
      <c r="S43" s="45" t="s">
        <v>145</v>
      </c>
      <c r="T43" s="57" t="s">
        <v>119</v>
      </c>
      <c r="U43" s="91">
        <v>5.8000000000000003E-2</v>
      </c>
      <c r="V43" s="57"/>
      <c r="W43" s="90">
        <f t="shared" si="5"/>
        <v>0</v>
      </c>
    </row>
    <row r="44" spans="1:23" ht="15.75" customHeight="1">
      <c r="A44" s="64"/>
      <c r="B44" s="54" t="s">
        <v>263</v>
      </c>
      <c r="C44" s="1">
        <v>3.7</v>
      </c>
      <c r="D44" s="2">
        <v>0.21</v>
      </c>
      <c r="E44" s="3"/>
      <c r="F44" s="56">
        <f t="shared" si="4"/>
        <v>0</v>
      </c>
      <c r="G44" s="40"/>
      <c r="H44" s="5">
        <v>4.5</v>
      </c>
      <c r="I44" s="2">
        <v>0.17199999999999999</v>
      </c>
      <c r="J44" s="57"/>
      <c r="K44" s="44">
        <f t="shared" si="1"/>
        <v>0</v>
      </c>
      <c r="L44" s="8"/>
      <c r="M44" s="58" t="s">
        <v>264</v>
      </c>
      <c r="N44" s="1">
        <v>3.9</v>
      </c>
      <c r="O44" s="2">
        <v>0.37</v>
      </c>
      <c r="P44" s="59"/>
      <c r="Q44" s="44">
        <f t="shared" si="2"/>
        <v>0</v>
      </c>
      <c r="R44" s="53"/>
      <c r="S44" s="62" t="s">
        <v>185</v>
      </c>
      <c r="T44" s="4" t="s">
        <v>122</v>
      </c>
      <c r="U44" s="68">
        <v>7.0000000000000007E-2</v>
      </c>
      <c r="V44" s="57"/>
      <c r="W44" s="90">
        <f t="shared" si="5"/>
        <v>0</v>
      </c>
    </row>
    <row r="45" spans="1:23" ht="15.75" customHeight="1" thickBot="1">
      <c r="A45" s="53"/>
      <c r="B45" s="54" t="s">
        <v>265</v>
      </c>
      <c r="C45" s="1">
        <v>3.8</v>
      </c>
      <c r="D45" s="2">
        <v>0.23909090909090908</v>
      </c>
      <c r="E45" s="3"/>
      <c r="F45" s="56">
        <f t="shared" si="4"/>
        <v>0</v>
      </c>
      <c r="G45" s="40"/>
      <c r="H45" s="92">
        <v>4.5999999999999996</v>
      </c>
      <c r="I45" s="93">
        <v>0.18</v>
      </c>
      <c r="J45" s="94"/>
      <c r="K45" s="44">
        <f t="shared" si="1"/>
        <v>0</v>
      </c>
      <c r="L45" s="8"/>
      <c r="M45" s="58" t="s">
        <v>266</v>
      </c>
      <c r="N45" s="1">
        <v>4</v>
      </c>
      <c r="O45" s="2">
        <v>0.4</v>
      </c>
      <c r="P45" s="59"/>
      <c r="Q45" s="44">
        <f t="shared" si="2"/>
        <v>0</v>
      </c>
      <c r="R45" s="53"/>
      <c r="S45" s="62" t="s">
        <v>185</v>
      </c>
      <c r="T45" s="4" t="s">
        <v>125</v>
      </c>
      <c r="U45" s="68">
        <v>0.09</v>
      </c>
      <c r="V45" s="57"/>
      <c r="W45" s="90">
        <f t="shared" si="5"/>
        <v>0</v>
      </c>
    </row>
    <row r="46" spans="1:23" ht="15.75" customHeight="1" thickBot="1">
      <c r="A46" s="53"/>
      <c r="B46" s="87" t="s">
        <v>267</v>
      </c>
      <c r="C46" s="4">
        <v>3.9</v>
      </c>
      <c r="D46" s="68">
        <v>0.25189189189189187</v>
      </c>
      <c r="E46" s="3"/>
      <c r="F46" s="56">
        <f t="shared" si="4"/>
        <v>0</v>
      </c>
      <c r="H46" s="521" t="s">
        <v>127</v>
      </c>
      <c r="I46" s="523"/>
      <c r="J46" s="95">
        <f>SUM(J9:J45)</f>
        <v>0</v>
      </c>
      <c r="K46" s="83">
        <f>SUM(K9:K45)</f>
        <v>0</v>
      </c>
      <c r="L46" s="8"/>
      <c r="M46" s="58" t="s">
        <v>268</v>
      </c>
      <c r="N46" s="1">
        <v>4.0999999999999996</v>
      </c>
      <c r="O46" s="2">
        <v>0.43</v>
      </c>
      <c r="P46" s="59"/>
      <c r="Q46" s="44">
        <f t="shared" si="2"/>
        <v>0</v>
      </c>
      <c r="R46" s="64"/>
      <c r="S46" s="62" t="s">
        <v>185</v>
      </c>
      <c r="T46" s="4" t="s">
        <v>128</v>
      </c>
      <c r="U46" s="68">
        <v>0.1</v>
      </c>
      <c r="V46" s="57"/>
      <c r="W46" s="90">
        <f t="shared" si="5"/>
        <v>0</v>
      </c>
    </row>
    <row r="47" spans="1:23" ht="15.75" customHeight="1">
      <c r="A47" s="64"/>
      <c r="B47" s="54" t="s">
        <v>269</v>
      </c>
      <c r="C47" s="1">
        <v>4</v>
      </c>
      <c r="D47" s="2">
        <v>0.26421052631578945</v>
      </c>
      <c r="E47" s="3"/>
      <c r="F47" s="56">
        <f t="shared" si="4"/>
        <v>0</v>
      </c>
      <c r="L47" s="8"/>
      <c r="M47" s="58" t="s">
        <v>270</v>
      </c>
      <c r="N47" s="1">
        <v>4.2</v>
      </c>
      <c r="O47" s="2">
        <v>0.46500000000000002</v>
      </c>
      <c r="P47" s="59"/>
      <c r="Q47" s="44">
        <f t="shared" si="2"/>
        <v>0</v>
      </c>
      <c r="R47" s="53"/>
      <c r="S47" s="62" t="s">
        <v>190</v>
      </c>
      <c r="T47" s="4" t="s">
        <v>130</v>
      </c>
      <c r="U47" s="68">
        <v>0.15</v>
      </c>
      <c r="V47" s="57"/>
      <c r="W47" s="90">
        <f t="shared" si="5"/>
        <v>0</v>
      </c>
    </row>
    <row r="48" spans="1:23" ht="15.75" customHeight="1">
      <c r="A48" s="53"/>
      <c r="B48" s="54" t="s">
        <v>271</v>
      </c>
      <c r="C48" s="1">
        <v>4.0999999999999996</v>
      </c>
      <c r="D48" s="2">
        <v>0.3</v>
      </c>
      <c r="E48" s="3"/>
      <c r="F48" s="56">
        <f t="shared" si="4"/>
        <v>0</v>
      </c>
      <c r="L48" s="8"/>
      <c r="M48" s="58" t="s">
        <v>272</v>
      </c>
      <c r="N48" s="1">
        <v>4.3</v>
      </c>
      <c r="O48" s="2">
        <v>0.5</v>
      </c>
      <c r="P48" s="59"/>
      <c r="Q48" s="44">
        <f t="shared" si="2"/>
        <v>0</v>
      </c>
      <c r="R48" s="53"/>
      <c r="S48" s="62" t="s">
        <v>190</v>
      </c>
      <c r="T48" s="4" t="s">
        <v>132</v>
      </c>
      <c r="U48" s="68">
        <v>0.15</v>
      </c>
      <c r="V48" s="57"/>
      <c r="W48" s="90">
        <f t="shared" si="5"/>
        <v>0</v>
      </c>
    </row>
    <row r="49" spans="1:23" ht="15.75" customHeight="1">
      <c r="A49" s="53"/>
      <c r="B49" s="54" t="s">
        <v>273</v>
      </c>
      <c r="C49" s="4">
        <v>4.2</v>
      </c>
      <c r="D49" s="2">
        <v>0.31</v>
      </c>
      <c r="E49" s="3"/>
      <c r="F49" s="56">
        <f t="shared" si="4"/>
        <v>0</v>
      </c>
      <c r="H49" s="96" t="s">
        <v>134</v>
      </c>
      <c r="I49" s="97" t="s">
        <v>135</v>
      </c>
      <c r="J49" s="53"/>
      <c r="K49" s="53"/>
      <c r="L49" s="8"/>
      <c r="M49" s="58" t="s">
        <v>274</v>
      </c>
      <c r="N49" s="1">
        <v>4.4000000000000004</v>
      </c>
      <c r="O49" s="2">
        <v>0.53200000000000003</v>
      </c>
      <c r="P49" s="59"/>
      <c r="Q49" s="44">
        <f t="shared" si="2"/>
        <v>0</v>
      </c>
      <c r="R49" s="53"/>
      <c r="S49" s="62" t="s">
        <v>195</v>
      </c>
      <c r="T49" s="4" t="s">
        <v>136</v>
      </c>
      <c r="U49" s="68">
        <v>0.25</v>
      </c>
      <c r="V49" s="57"/>
      <c r="W49" s="90">
        <f t="shared" si="5"/>
        <v>0</v>
      </c>
    </row>
    <row r="50" spans="1:23" ht="15.75" customHeight="1">
      <c r="A50" s="53"/>
      <c r="B50" s="54" t="s">
        <v>275</v>
      </c>
      <c r="C50" s="4">
        <v>4.3</v>
      </c>
      <c r="D50" s="1">
        <v>0.33</v>
      </c>
      <c r="E50" s="3"/>
      <c r="F50" s="56">
        <f t="shared" si="4"/>
        <v>0</v>
      </c>
      <c r="L50" s="8"/>
      <c r="M50" s="45" t="s">
        <v>145</v>
      </c>
      <c r="N50" s="1">
        <v>4.5</v>
      </c>
      <c r="O50" s="2">
        <v>0.6</v>
      </c>
      <c r="P50" s="59"/>
      <c r="Q50" s="44">
        <f t="shared" si="2"/>
        <v>0</v>
      </c>
      <c r="R50" s="53"/>
      <c r="S50" s="62" t="s">
        <v>202</v>
      </c>
      <c r="T50" s="4" t="s">
        <v>276</v>
      </c>
      <c r="U50" s="68">
        <v>0.33</v>
      </c>
      <c r="V50" s="57"/>
      <c r="W50" s="90">
        <f t="shared" si="5"/>
        <v>0</v>
      </c>
    </row>
    <row r="51" spans="1:23" ht="15.75" customHeight="1">
      <c r="A51" s="53"/>
      <c r="B51" s="54" t="s">
        <v>277</v>
      </c>
      <c r="C51" s="1">
        <v>4.4000000000000004</v>
      </c>
      <c r="D51" s="1">
        <v>0.38</v>
      </c>
      <c r="E51" s="3"/>
      <c r="F51" s="56">
        <f t="shared" si="4"/>
        <v>0</v>
      </c>
      <c r="I51" s="98" t="s">
        <v>139</v>
      </c>
      <c r="J51" s="64"/>
      <c r="K51" s="64"/>
      <c r="L51" s="8"/>
      <c r="M51" s="45" t="s">
        <v>145</v>
      </c>
      <c r="N51" s="1">
        <v>5</v>
      </c>
      <c r="O51" s="2">
        <v>0.75</v>
      </c>
      <c r="P51" s="59"/>
      <c r="Q51" s="44">
        <f t="shared" si="2"/>
        <v>0</v>
      </c>
      <c r="R51" s="53"/>
      <c r="S51" s="62" t="s">
        <v>209</v>
      </c>
      <c r="T51" s="4" t="s">
        <v>278</v>
      </c>
      <c r="U51" s="68">
        <v>0.4</v>
      </c>
      <c r="V51" s="57"/>
      <c r="W51" s="90">
        <f t="shared" si="5"/>
        <v>0</v>
      </c>
    </row>
    <row r="52" spans="1:23" ht="15.75" customHeight="1">
      <c r="A52" s="53"/>
      <c r="B52" s="54" t="s">
        <v>279</v>
      </c>
      <c r="C52" s="4">
        <v>4.5</v>
      </c>
      <c r="D52" s="1">
        <v>0.39</v>
      </c>
      <c r="E52" s="3"/>
      <c r="F52" s="56">
        <f t="shared" si="4"/>
        <v>0</v>
      </c>
      <c r="L52" s="8"/>
      <c r="M52" s="45" t="s">
        <v>145</v>
      </c>
      <c r="N52" s="1">
        <v>5.5</v>
      </c>
      <c r="O52" s="2">
        <v>1</v>
      </c>
      <c r="P52" s="59"/>
      <c r="Q52" s="44">
        <f t="shared" si="2"/>
        <v>0</v>
      </c>
      <c r="R52" s="53"/>
      <c r="S52" s="62" t="s">
        <v>215</v>
      </c>
      <c r="T52" s="4" t="s">
        <v>280</v>
      </c>
      <c r="U52" s="68">
        <v>0.5</v>
      </c>
      <c r="V52" s="57"/>
      <c r="W52" s="90">
        <f t="shared" si="5"/>
        <v>0</v>
      </c>
    </row>
    <row r="53" spans="1:23" ht="15.75" customHeight="1">
      <c r="A53" s="53"/>
      <c r="B53" s="54" t="s">
        <v>142</v>
      </c>
      <c r="C53" s="1">
        <v>4.5999999999999996</v>
      </c>
      <c r="D53" s="1">
        <v>0.4</v>
      </c>
      <c r="E53" s="3"/>
      <c r="F53" s="56">
        <f t="shared" si="4"/>
        <v>0</v>
      </c>
      <c r="I53" s="99" t="s">
        <v>143</v>
      </c>
      <c r="J53" s="40"/>
      <c r="K53" s="40"/>
      <c r="M53" s="45" t="s">
        <v>145</v>
      </c>
      <c r="N53" s="1">
        <v>6</v>
      </c>
      <c r="O53" s="1">
        <v>1.3</v>
      </c>
      <c r="P53" s="59"/>
      <c r="Q53" s="44">
        <f t="shared" si="2"/>
        <v>0</v>
      </c>
      <c r="R53" s="53"/>
      <c r="S53" s="62" t="s">
        <v>220</v>
      </c>
      <c r="T53" s="4" t="s">
        <v>281</v>
      </c>
      <c r="U53" s="68">
        <v>0.75</v>
      </c>
      <c r="V53" s="57"/>
      <c r="W53" s="90">
        <f t="shared" si="5"/>
        <v>0</v>
      </c>
    </row>
    <row r="54" spans="1:23" ht="15.75" customHeight="1">
      <c r="A54" s="53"/>
      <c r="B54" s="45" t="s">
        <v>145</v>
      </c>
      <c r="C54" s="1">
        <v>4.7</v>
      </c>
      <c r="D54" s="1">
        <v>0.46</v>
      </c>
      <c r="E54" s="3"/>
      <c r="F54" s="56">
        <f t="shared" si="4"/>
        <v>0</v>
      </c>
      <c r="M54" s="45" t="s">
        <v>145</v>
      </c>
      <c r="N54" s="1">
        <v>7</v>
      </c>
      <c r="O54" s="1">
        <v>2</v>
      </c>
      <c r="P54" s="59"/>
      <c r="Q54" s="44">
        <f t="shared" si="2"/>
        <v>0</v>
      </c>
      <c r="R54" s="53"/>
      <c r="S54" s="62" t="s">
        <v>224</v>
      </c>
      <c r="T54" s="4" t="s">
        <v>282</v>
      </c>
      <c r="U54" s="68">
        <v>0.85</v>
      </c>
      <c r="V54" s="57"/>
      <c r="W54" s="90">
        <f t="shared" si="5"/>
        <v>0</v>
      </c>
    </row>
    <row r="55" spans="1:23" ht="15.75" customHeight="1" thickBot="1">
      <c r="A55" s="64"/>
      <c r="B55" s="45" t="s">
        <v>145</v>
      </c>
      <c r="C55" s="4">
        <v>4.8</v>
      </c>
      <c r="D55" s="4">
        <v>0.49</v>
      </c>
      <c r="E55" s="3"/>
      <c r="F55" s="56">
        <f t="shared" si="4"/>
        <v>0</v>
      </c>
      <c r="M55" s="45" t="s">
        <v>145</v>
      </c>
      <c r="N55" s="1">
        <v>8</v>
      </c>
      <c r="O55" s="1">
        <v>2.9</v>
      </c>
      <c r="P55" s="59"/>
      <c r="Q55" s="44">
        <f t="shared" si="2"/>
        <v>0</v>
      </c>
      <c r="R55" s="53"/>
      <c r="S55" s="45" t="s">
        <v>145</v>
      </c>
      <c r="T55" s="4" t="s">
        <v>283</v>
      </c>
      <c r="U55" s="68">
        <v>1</v>
      </c>
      <c r="V55" s="57"/>
      <c r="W55" s="90">
        <f t="shared" si="5"/>
        <v>0</v>
      </c>
    </row>
    <row r="56" spans="1:23" ht="15.75" customHeight="1" thickBot="1">
      <c r="A56" s="53"/>
      <c r="B56" s="45" t="s">
        <v>145</v>
      </c>
      <c r="C56" s="1">
        <v>4.9000000000000004</v>
      </c>
      <c r="D56" s="1">
        <v>0.5</v>
      </c>
      <c r="E56" s="3"/>
      <c r="F56" s="56">
        <f t="shared" si="4"/>
        <v>0</v>
      </c>
      <c r="H56" s="552" t="s">
        <v>148</v>
      </c>
      <c r="I56" s="552"/>
      <c r="J56" s="214" t="s">
        <v>21</v>
      </c>
      <c r="K56" s="214" t="s">
        <v>32</v>
      </c>
      <c r="M56" s="45" t="s">
        <v>145</v>
      </c>
      <c r="N56" s="1">
        <v>9</v>
      </c>
      <c r="O56" s="1">
        <v>4.4000000000000004</v>
      </c>
      <c r="P56" s="59"/>
      <c r="Q56" s="44">
        <f t="shared" si="2"/>
        <v>0</v>
      </c>
      <c r="R56" s="53"/>
      <c r="S56" s="45" t="s">
        <v>145</v>
      </c>
      <c r="T56" s="4" t="s">
        <v>284</v>
      </c>
      <c r="U56" s="68">
        <v>2</v>
      </c>
      <c r="V56" s="57"/>
      <c r="W56" s="90">
        <f t="shared" si="5"/>
        <v>0</v>
      </c>
    </row>
    <row r="57" spans="1:23" ht="15.75" customHeight="1">
      <c r="A57" s="53"/>
      <c r="B57" s="45" t="s">
        <v>145</v>
      </c>
      <c r="C57" s="4">
        <v>5</v>
      </c>
      <c r="D57" s="4">
        <v>0.52</v>
      </c>
      <c r="E57" s="3"/>
      <c r="F57" s="56">
        <f t="shared" si="4"/>
        <v>0</v>
      </c>
      <c r="H57" s="553" t="s">
        <v>33</v>
      </c>
      <c r="I57" s="554"/>
      <c r="J57" s="100">
        <f>E103</f>
        <v>0</v>
      </c>
      <c r="K57" s="100">
        <f>F103</f>
        <v>0</v>
      </c>
      <c r="M57" s="45" t="s">
        <v>145</v>
      </c>
      <c r="N57" s="1">
        <v>10</v>
      </c>
      <c r="O57" s="1">
        <v>6</v>
      </c>
      <c r="P57" s="59"/>
      <c r="Q57" s="44">
        <f t="shared" si="2"/>
        <v>0</v>
      </c>
      <c r="S57" s="45" t="s">
        <v>145</v>
      </c>
      <c r="T57" s="4" t="s">
        <v>150</v>
      </c>
      <c r="U57" s="68">
        <v>3</v>
      </c>
      <c r="V57" s="57"/>
      <c r="W57" s="90">
        <f t="shared" si="5"/>
        <v>0</v>
      </c>
    </row>
    <row r="58" spans="1:23" ht="15.75" customHeight="1" thickBot="1">
      <c r="A58" s="40"/>
      <c r="B58" s="45" t="s">
        <v>145</v>
      </c>
      <c r="C58" s="4">
        <v>5.0999999999999996</v>
      </c>
      <c r="D58" s="1">
        <v>0.56000000000000005</v>
      </c>
      <c r="E58" s="3"/>
      <c r="F58" s="56">
        <f t="shared" si="4"/>
        <v>0</v>
      </c>
      <c r="H58" s="544" t="s">
        <v>127</v>
      </c>
      <c r="I58" s="545"/>
      <c r="J58" s="101">
        <f>J46</f>
        <v>0</v>
      </c>
      <c r="K58" s="102">
        <f>K46</f>
        <v>0</v>
      </c>
      <c r="M58" s="45" t="s">
        <v>145</v>
      </c>
      <c r="N58" s="1">
        <v>11</v>
      </c>
      <c r="O58" s="1">
        <v>8</v>
      </c>
      <c r="P58" s="59"/>
      <c r="Q58" s="44">
        <f t="shared" si="2"/>
        <v>0</v>
      </c>
      <c r="S58" s="45" t="s">
        <v>145</v>
      </c>
      <c r="T58" s="80" t="s">
        <v>151</v>
      </c>
      <c r="U58" s="103">
        <v>4</v>
      </c>
      <c r="V58" s="81"/>
      <c r="W58" s="90">
        <f t="shared" si="5"/>
        <v>0</v>
      </c>
    </row>
    <row r="59" spans="1:23" ht="15.75" customHeight="1" thickBot="1">
      <c r="A59" s="53"/>
      <c r="B59" s="45" t="s">
        <v>145</v>
      </c>
      <c r="C59" s="4">
        <v>5.2</v>
      </c>
      <c r="D59" s="1">
        <v>0.61</v>
      </c>
      <c r="E59" s="3"/>
      <c r="F59" s="56">
        <f t="shared" si="4"/>
        <v>0</v>
      </c>
      <c r="H59" s="544" t="s">
        <v>35</v>
      </c>
      <c r="I59" s="545"/>
      <c r="J59" s="101">
        <f>P64</f>
        <v>0</v>
      </c>
      <c r="K59" s="102">
        <f>Q64</f>
        <v>0</v>
      </c>
      <c r="M59" s="45" t="s">
        <v>145</v>
      </c>
      <c r="N59" s="1">
        <v>12</v>
      </c>
      <c r="O59" s="1">
        <v>10.35</v>
      </c>
      <c r="P59" s="59"/>
      <c r="Q59" s="44">
        <f t="shared" si="2"/>
        <v>0</v>
      </c>
      <c r="S59" s="543" t="s">
        <v>105</v>
      </c>
      <c r="T59" s="543"/>
      <c r="U59" s="543"/>
      <c r="V59" s="215">
        <f>SUM(V40:V58)</f>
        <v>0</v>
      </c>
      <c r="W59" s="83">
        <f>SUM(W40:W58)</f>
        <v>0</v>
      </c>
    </row>
    <row r="60" spans="1:23" ht="15.75" customHeight="1" thickBot="1">
      <c r="A60" s="53"/>
      <c r="B60" s="45" t="s">
        <v>145</v>
      </c>
      <c r="C60" s="4">
        <v>5.3</v>
      </c>
      <c r="D60" s="1">
        <v>0.63</v>
      </c>
      <c r="E60" s="3"/>
      <c r="F60" s="56">
        <f t="shared" si="4"/>
        <v>0</v>
      </c>
      <c r="H60" s="544" t="s">
        <v>36</v>
      </c>
      <c r="I60" s="545"/>
      <c r="J60" s="101">
        <f>V36</f>
        <v>0</v>
      </c>
      <c r="K60" s="102">
        <f>W36</f>
        <v>0</v>
      </c>
      <c r="M60" s="45" t="s">
        <v>145</v>
      </c>
      <c r="N60" s="1">
        <v>13</v>
      </c>
      <c r="O60" s="1">
        <v>13.2</v>
      </c>
      <c r="P60" s="59"/>
      <c r="Q60" s="44">
        <f t="shared" si="2"/>
        <v>0</v>
      </c>
    </row>
    <row r="61" spans="1:23" ht="15.75" customHeight="1" thickBot="1">
      <c r="A61" s="64"/>
      <c r="B61" s="45" t="s">
        <v>145</v>
      </c>
      <c r="C61" s="1">
        <v>5.4</v>
      </c>
      <c r="D61" s="1">
        <v>0.65</v>
      </c>
      <c r="E61" s="3"/>
      <c r="F61" s="56">
        <f t="shared" si="4"/>
        <v>0</v>
      </c>
      <c r="H61" s="544" t="s">
        <v>152</v>
      </c>
      <c r="I61" s="545"/>
      <c r="J61" s="57">
        <f>V59</f>
        <v>0</v>
      </c>
      <c r="K61" s="102">
        <f>W59</f>
        <v>0</v>
      </c>
      <c r="M61" s="45" t="s">
        <v>145</v>
      </c>
      <c r="N61" s="1">
        <v>14</v>
      </c>
      <c r="O61" s="1">
        <v>16.5</v>
      </c>
      <c r="P61" s="59"/>
      <c r="Q61" s="44">
        <f t="shared" si="2"/>
        <v>0</v>
      </c>
      <c r="T61" s="524" t="s">
        <v>153</v>
      </c>
      <c r="U61" s="525"/>
      <c r="V61" s="525"/>
      <c r="W61" s="526"/>
    </row>
    <row r="62" spans="1:23" ht="15.75" customHeight="1" thickBot="1">
      <c r="A62" s="64"/>
      <c r="B62" s="45" t="s">
        <v>145</v>
      </c>
      <c r="C62" s="1">
        <v>5.5</v>
      </c>
      <c r="D62" s="1">
        <v>0.67</v>
      </c>
      <c r="E62" s="3"/>
      <c r="F62" s="56">
        <f t="shared" si="4"/>
        <v>0</v>
      </c>
      <c r="H62" s="544" t="s">
        <v>153</v>
      </c>
      <c r="I62" s="545"/>
      <c r="J62" s="101">
        <f>V82</f>
        <v>0</v>
      </c>
      <c r="K62" s="102">
        <f>W82</f>
        <v>0</v>
      </c>
      <c r="M62" s="45" t="s">
        <v>145</v>
      </c>
      <c r="N62" s="1">
        <v>15</v>
      </c>
      <c r="O62" s="1">
        <v>20.25</v>
      </c>
      <c r="P62" s="59"/>
      <c r="Q62" s="44">
        <f t="shared" si="2"/>
        <v>0</v>
      </c>
      <c r="T62" s="104"/>
      <c r="U62" s="104"/>
      <c r="V62" s="104"/>
      <c r="W62" s="104"/>
    </row>
    <row r="63" spans="1:23" ht="15.75" customHeight="1" thickBot="1">
      <c r="A63" s="40"/>
      <c r="B63" s="45" t="s">
        <v>145</v>
      </c>
      <c r="C63" s="1">
        <v>5.6</v>
      </c>
      <c r="D63" s="1">
        <v>0.7</v>
      </c>
      <c r="E63" s="3"/>
      <c r="F63" s="56">
        <f t="shared" si="4"/>
        <v>0</v>
      </c>
      <c r="H63" s="540" t="s">
        <v>154</v>
      </c>
      <c r="I63" s="541"/>
      <c r="J63" s="105">
        <f>P84</f>
        <v>0</v>
      </c>
      <c r="K63" s="106">
        <f>Q84</f>
        <v>0</v>
      </c>
      <c r="M63" s="45" t="s">
        <v>145</v>
      </c>
      <c r="N63" s="107">
        <v>16</v>
      </c>
      <c r="O63" s="107">
        <v>24.6</v>
      </c>
      <c r="P63" s="108"/>
      <c r="Q63" s="44">
        <f>P63*O63</f>
        <v>0</v>
      </c>
      <c r="T63" s="86" t="s">
        <v>37</v>
      </c>
      <c r="U63" s="86" t="s">
        <v>22</v>
      </c>
      <c r="V63" s="86" t="s">
        <v>21</v>
      </c>
      <c r="W63" s="86" t="s">
        <v>32</v>
      </c>
    </row>
    <row r="64" spans="1:23" ht="15.75" customHeight="1" thickBot="1">
      <c r="B64" s="45" t="s">
        <v>145</v>
      </c>
      <c r="C64" s="1">
        <v>5.8</v>
      </c>
      <c r="D64" s="1">
        <v>0.8</v>
      </c>
      <c r="E64" s="3"/>
      <c r="F64" s="56">
        <f t="shared" si="4"/>
        <v>0</v>
      </c>
      <c r="H64" s="542" t="s">
        <v>32</v>
      </c>
      <c r="I64" s="542"/>
      <c r="J64" s="109">
        <f>SUM(J57:J63)</f>
        <v>0</v>
      </c>
      <c r="K64" s="110">
        <f>SUM(K57:K63)</f>
        <v>0</v>
      </c>
      <c r="M64" s="536" t="s">
        <v>35</v>
      </c>
      <c r="N64" s="536"/>
      <c r="O64" s="536"/>
      <c r="P64" s="215">
        <f>SUM(P9:P63)</f>
        <v>0</v>
      </c>
      <c r="Q64" s="111">
        <f>SUM(Q9:Q63)</f>
        <v>0</v>
      </c>
      <c r="T64" s="112" t="s">
        <v>285</v>
      </c>
      <c r="U64" s="113">
        <v>0.25</v>
      </c>
      <c r="V64" s="89"/>
      <c r="W64" s="52">
        <f>V64*U64</f>
        <v>0</v>
      </c>
    </row>
    <row r="65" spans="2:23" ht="15.75" customHeight="1" thickBot="1">
      <c r="B65" s="45" t="s">
        <v>145</v>
      </c>
      <c r="C65" s="1">
        <v>6</v>
      </c>
      <c r="D65" s="1">
        <v>0.9</v>
      </c>
      <c r="E65" s="3"/>
      <c r="F65" s="56">
        <f t="shared" si="4"/>
        <v>0</v>
      </c>
      <c r="T65" s="67" t="s">
        <v>286</v>
      </c>
      <c r="U65" s="4">
        <v>0.5</v>
      </c>
      <c r="V65" s="57"/>
      <c r="W65" s="52">
        <f t="shared" ref="W65:W80" si="6">V65*U65</f>
        <v>0</v>
      </c>
    </row>
    <row r="66" spans="2:23" ht="15.75" customHeight="1" thickBot="1">
      <c r="B66" s="45" t="s">
        <v>145</v>
      </c>
      <c r="C66" s="1">
        <v>6.2</v>
      </c>
      <c r="D66" s="1">
        <v>1</v>
      </c>
      <c r="E66" s="3"/>
      <c r="F66" s="56">
        <f t="shared" si="4"/>
        <v>0</v>
      </c>
      <c r="M66" s="114"/>
      <c r="N66" s="537" t="s">
        <v>154</v>
      </c>
      <c r="O66" s="538"/>
      <c r="P66" s="538"/>
      <c r="Q66" s="539"/>
      <c r="R66" s="114"/>
      <c r="T66" s="67" t="s">
        <v>287</v>
      </c>
      <c r="U66" s="4">
        <v>1</v>
      </c>
      <c r="V66" s="57"/>
      <c r="W66" s="52">
        <f t="shared" si="6"/>
        <v>0</v>
      </c>
    </row>
    <row r="67" spans="2:23" ht="15.75" customHeight="1" thickBot="1">
      <c r="B67" s="45" t="s">
        <v>145</v>
      </c>
      <c r="C67" s="1">
        <v>6.4</v>
      </c>
      <c r="D67" s="1">
        <v>1.05</v>
      </c>
      <c r="E67" s="3"/>
      <c r="F67" s="56">
        <f t="shared" si="4"/>
        <v>0</v>
      </c>
      <c r="M67" s="114"/>
      <c r="N67" s="29"/>
      <c r="O67" s="29"/>
      <c r="P67" s="29"/>
      <c r="Q67" s="29"/>
      <c r="R67" s="114"/>
      <c r="T67" s="67" t="s">
        <v>288</v>
      </c>
      <c r="U67" s="4">
        <v>1.5</v>
      </c>
      <c r="V67" s="57"/>
      <c r="W67" s="52">
        <f t="shared" si="6"/>
        <v>0</v>
      </c>
    </row>
    <row r="68" spans="2:23" ht="15.75" customHeight="1" thickBot="1">
      <c r="B68" s="45" t="s">
        <v>145</v>
      </c>
      <c r="C68" s="1">
        <v>6.5</v>
      </c>
      <c r="D68" s="1">
        <v>1.1000000000000001</v>
      </c>
      <c r="E68" s="3"/>
      <c r="F68" s="56">
        <f t="shared" si="4"/>
        <v>0</v>
      </c>
      <c r="M68" s="114"/>
      <c r="N68" s="86" t="s">
        <v>37</v>
      </c>
      <c r="O68" s="86" t="s">
        <v>22</v>
      </c>
      <c r="P68" s="86" t="s">
        <v>21</v>
      </c>
      <c r="Q68" s="86" t="s">
        <v>32</v>
      </c>
      <c r="R68" s="114"/>
      <c r="T68" s="67" t="s">
        <v>289</v>
      </c>
      <c r="U68" s="4">
        <v>2.5</v>
      </c>
      <c r="V68" s="57"/>
      <c r="W68" s="52">
        <f t="shared" si="6"/>
        <v>0</v>
      </c>
    </row>
    <row r="69" spans="2:23" ht="15.75" customHeight="1">
      <c r="B69" s="45" t="s">
        <v>145</v>
      </c>
      <c r="C69" s="1">
        <v>6.6</v>
      </c>
      <c r="D69" s="1">
        <v>1.1299999999999999</v>
      </c>
      <c r="E69" s="3"/>
      <c r="F69" s="56">
        <f t="shared" si="4"/>
        <v>0</v>
      </c>
      <c r="M69" s="114"/>
      <c r="N69" s="118" t="s">
        <v>290</v>
      </c>
      <c r="O69" s="119">
        <v>0.25</v>
      </c>
      <c r="P69" s="89"/>
      <c r="Q69" s="120">
        <f>P69*O69</f>
        <v>0</v>
      </c>
      <c r="R69" s="114"/>
      <c r="T69" s="67" t="s">
        <v>291</v>
      </c>
      <c r="U69" s="4">
        <v>3</v>
      </c>
      <c r="V69" s="57"/>
      <c r="W69" s="52">
        <f t="shared" si="6"/>
        <v>0</v>
      </c>
    </row>
    <row r="70" spans="2:23" ht="15.75" customHeight="1">
      <c r="B70" s="45" t="s">
        <v>145</v>
      </c>
      <c r="C70" s="1">
        <v>6.8</v>
      </c>
      <c r="D70" s="1">
        <v>1.17</v>
      </c>
      <c r="E70" s="3"/>
      <c r="F70" s="56">
        <f t="shared" si="4"/>
        <v>0</v>
      </c>
      <c r="M70" s="114"/>
      <c r="N70" s="67" t="s">
        <v>292</v>
      </c>
      <c r="O70" s="4">
        <v>0.33</v>
      </c>
      <c r="P70" s="57"/>
      <c r="Q70" s="121">
        <f t="shared" ref="Q70:Q83" si="7">P70*O70</f>
        <v>0</v>
      </c>
      <c r="R70" s="114"/>
      <c r="T70" s="67" t="s">
        <v>293</v>
      </c>
      <c r="U70" s="4">
        <v>4</v>
      </c>
      <c r="V70" s="57"/>
      <c r="W70" s="52">
        <f t="shared" si="6"/>
        <v>0</v>
      </c>
    </row>
    <row r="71" spans="2:23" ht="15.75" customHeight="1">
      <c r="B71" s="45" t="s">
        <v>145</v>
      </c>
      <c r="C71" s="1">
        <v>7</v>
      </c>
      <c r="D71" s="1">
        <v>1.25</v>
      </c>
      <c r="E71" s="3"/>
      <c r="F71" s="56">
        <f t="shared" si="4"/>
        <v>0</v>
      </c>
      <c r="M71" s="114"/>
      <c r="N71" s="67" t="s">
        <v>294</v>
      </c>
      <c r="O71" s="4">
        <v>0.5</v>
      </c>
      <c r="P71" s="57"/>
      <c r="Q71" s="121">
        <f t="shared" si="7"/>
        <v>0</v>
      </c>
      <c r="R71" s="114"/>
      <c r="T71" s="67" t="s">
        <v>295</v>
      </c>
      <c r="U71" s="4">
        <v>5</v>
      </c>
      <c r="V71" s="57"/>
      <c r="W71" s="52">
        <f t="shared" si="6"/>
        <v>0</v>
      </c>
    </row>
    <row r="72" spans="2:23" ht="15.75" customHeight="1">
      <c r="B72" s="45" t="s">
        <v>145</v>
      </c>
      <c r="C72" s="1">
        <v>7.2</v>
      </c>
      <c r="D72" s="1">
        <v>1.33</v>
      </c>
      <c r="E72" s="3"/>
      <c r="F72" s="56">
        <f t="shared" si="4"/>
        <v>0</v>
      </c>
      <c r="M72" s="114"/>
      <c r="N72" s="67" t="s">
        <v>287</v>
      </c>
      <c r="O72" s="4">
        <v>1</v>
      </c>
      <c r="P72" s="57"/>
      <c r="Q72" s="121">
        <f t="shared" si="7"/>
        <v>0</v>
      </c>
      <c r="R72" s="114"/>
      <c r="T72" s="67" t="s">
        <v>296</v>
      </c>
      <c r="U72" s="4">
        <v>6</v>
      </c>
      <c r="V72" s="57"/>
      <c r="W72" s="52">
        <f t="shared" si="6"/>
        <v>0</v>
      </c>
    </row>
    <row r="73" spans="2:23" ht="15.75" customHeight="1">
      <c r="B73" s="45" t="s">
        <v>145</v>
      </c>
      <c r="C73" s="1">
        <v>7.4</v>
      </c>
      <c r="D73" s="1">
        <v>1.5</v>
      </c>
      <c r="E73" s="3"/>
      <c r="F73" s="56">
        <f t="shared" si="4"/>
        <v>0</v>
      </c>
      <c r="M73" s="114"/>
      <c r="N73" s="67" t="s">
        <v>288</v>
      </c>
      <c r="O73" s="4">
        <v>1.5</v>
      </c>
      <c r="P73" s="57"/>
      <c r="Q73" s="121">
        <f t="shared" si="7"/>
        <v>0</v>
      </c>
      <c r="R73" s="114"/>
      <c r="T73" s="122" t="s">
        <v>297</v>
      </c>
      <c r="U73" s="4">
        <v>8</v>
      </c>
      <c r="V73" s="57"/>
      <c r="W73" s="52">
        <f t="shared" si="6"/>
        <v>0</v>
      </c>
    </row>
    <row r="74" spans="2:23" ht="15.75" customHeight="1">
      <c r="B74" s="45" t="s">
        <v>145</v>
      </c>
      <c r="C74" s="1">
        <v>7.6</v>
      </c>
      <c r="D74" s="1">
        <v>1.6</v>
      </c>
      <c r="E74" s="3"/>
      <c r="F74" s="123">
        <f t="shared" si="4"/>
        <v>0</v>
      </c>
      <c r="M74" s="114"/>
      <c r="N74" s="67" t="s">
        <v>289</v>
      </c>
      <c r="O74" s="4">
        <v>2.5</v>
      </c>
      <c r="P74" s="57"/>
      <c r="Q74" s="121">
        <f t="shared" si="7"/>
        <v>0</v>
      </c>
      <c r="R74" s="114"/>
      <c r="T74" s="67" t="s">
        <v>298</v>
      </c>
      <c r="U74" s="4">
        <v>10.5</v>
      </c>
      <c r="V74" s="57"/>
      <c r="W74" s="52">
        <f t="shared" si="6"/>
        <v>0</v>
      </c>
    </row>
    <row r="75" spans="2:23" ht="15.75" customHeight="1">
      <c r="B75" s="45" t="s">
        <v>145</v>
      </c>
      <c r="C75" s="1">
        <v>7.8</v>
      </c>
      <c r="D75" s="1">
        <v>1.75</v>
      </c>
      <c r="E75" s="3"/>
      <c r="F75" s="123">
        <f t="shared" si="4"/>
        <v>0</v>
      </c>
      <c r="M75" s="114"/>
      <c r="N75" s="67" t="s">
        <v>291</v>
      </c>
      <c r="O75" s="4">
        <v>3</v>
      </c>
      <c r="P75" s="57"/>
      <c r="Q75" s="121">
        <f t="shared" si="7"/>
        <v>0</v>
      </c>
      <c r="R75" s="114"/>
      <c r="T75" s="67" t="s">
        <v>299</v>
      </c>
      <c r="U75" s="4">
        <v>14.2</v>
      </c>
      <c r="V75" s="57"/>
      <c r="W75" s="52">
        <f t="shared" si="6"/>
        <v>0</v>
      </c>
    </row>
    <row r="76" spans="2:23" ht="15.75" customHeight="1">
      <c r="B76" s="45" t="s">
        <v>145</v>
      </c>
      <c r="C76" s="1">
        <v>8</v>
      </c>
      <c r="D76" s="1">
        <v>1.9</v>
      </c>
      <c r="E76" s="3"/>
      <c r="F76" s="123">
        <f t="shared" si="4"/>
        <v>0</v>
      </c>
      <c r="M76" s="114"/>
      <c r="N76" s="67" t="s">
        <v>293</v>
      </c>
      <c r="O76" s="4">
        <v>4</v>
      </c>
      <c r="P76" s="57"/>
      <c r="Q76" s="121">
        <f t="shared" si="7"/>
        <v>0</v>
      </c>
      <c r="R76" s="114"/>
      <c r="T76" s="67" t="s">
        <v>300</v>
      </c>
      <c r="U76" s="4">
        <v>20.3</v>
      </c>
      <c r="V76" s="57"/>
      <c r="W76" s="52">
        <f t="shared" si="6"/>
        <v>0</v>
      </c>
    </row>
    <row r="77" spans="2:23" ht="15.75" customHeight="1">
      <c r="B77" s="45" t="s">
        <v>145</v>
      </c>
      <c r="C77" s="1">
        <v>8.1999999999999993</v>
      </c>
      <c r="D77" s="1">
        <v>2</v>
      </c>
      <c r="E77" s="3"/>
      <c r="F77" s="123">
        <f t="shared" si="4"/>
        <v>0</v>
      </c>
      <c r="M77" s="114"/>
      <c r="N77" s="67" t="s">
        <v>295</v>
      </c>
      <c r="O77" s="4">
        <v>5</v>
      </c>
      <c r="P77" s="57"/>
      <c r="Q77" s="121">
        <f t="shared" si="7"/>
        <v>0</v>
      </c>
      <c r="R77" s="114"/>
      <c r="T77" s="67" t="s">
        <v>301</v>
      </c>
      <c r="U77" s="4">
        <v>23.5</v>
      </c>
      <c r="V77" s="57"/>
      <c r="W77" s="52">
        <f t="shared" si="6"/>
        <v>0</v>
      </c>
    </row>
    <row r="78" spans="2:23" ht="15.75" customHeight="1">
      <c r="B78" s="45" t="s">
        <v>145</v>
      </c>
      <c r="C78" s="1">
        <v>8.4</v>
      </c>
      <c r="D78" s="1">
        <v>2.15</v>
      </c>
      <c r="E78" s="3"/>
      <c r="F78" s="123">
        <f t="shared" si="4"/>
        <v>0</v>
      </c>
      <c r="M78" s="114"/>
      <c r="N78" s="67" t="s">
        <v>296</v>
      </c>
      <c r="O78" s="4">
        <v>6</v>
      </c>
      <c r="P78" s="57"/>
      <c r="Q78" s="121">
        <f t="shared" si="7"/>
        <v>0</v>
      </c>
      <c r="R78" s="114"/>
      <c r="T78" s="67" t="s">
        <v>302</v>
      </c>
      <c r="U78" s="4">
        <v>32.200000000000003</v>
      </c>
      <c r="V78" s="57"/>
      <c r="W78" s="52">
        <f t="shared" si="6"/>
        <v>0</v>
      </c>
    </row>
    <row r="79" spans="2:23" ht="15.75" customHeight="1">
      <c r="B79" s="45" t="s">
        <v>145</v>
      </c>
      <c r="C79" s="1">
        <v>8.6</v>
      </c>
      <c r="D79" s="1">
        <v>2.25</v>
      </c>
      <c r="E79" s="3"/>
      <c r="F79" s="123">
        <f t="shared" si="4"/>
        <v>0</v>
      </c>
      <c r="M79" s="114"/>
      <c r="N79" s="122" t="s">
        <v>297</v>
      </c>
      <c r="O79" s="4">
        <v>8</v>
      </c>
      <c r="P79" s="57"/>
      <c r="Q79" s="121">
        <f t="shared" si="7"/>
        <v>0</v>
      </c>
      <c r="R79" s="114"/>
      <c r="T79" s="67" t="s">
        <v>303</v>
      </c>
      <c r="U79" s="4">
        <v>43</v>
      </c>
      <c r="V79" s="57"/>
      <c r="W79" s="52">
        <f t="shared" si="6"/>
        <v>0</v>
      </c>
    </row>
    <row r="80" spans="2:23" ht="15.75" customHeight="1">
      <c r="B80" s="45" t="s">
        <v>145</v>
      </c>
      <c r="C80" s="1">
        <v>8.8000000000000007</v>
      </c>
      <c r="D80" s="1">
        <v>2.5</v>
      </c>
      <c r="E80" s="3"/>
      <c r="F80" s="123">
        <f t="shared" si="4"/>
        <v>0</v>
      </c>
      <c r="M80" s="114"/>
      <c r="N80" s="67" t="s">
        <v>298</v>
      </c>
      <c r="O80" s="4">
        <v>10.5</v>
      </c>
      <c r="P80" s="57"/>
      <c r="Q80" s="121">
        <f t="shared" si="7"/>
        <v>0</v>
      </c>
      <c r="R80" s="114"/>
      <c r="T80" s="67" t="s">
        <v>304</v>
      </c>
      <c r="U80" s="4">
        <v>58.5</v>
      </c>
      <c r="V80" s="57"/>
      <c r="W80" s="52">
        <f t="shared" si="6"/>
        <v>0</v>
      </c>
    </row>
    <row r="81" spans="2:23" ht="15.75" customHeight="1" thickBot="1">
      <c r="B81" s="45" t="s">
        <v>145</v>
      </c>
      <c r="C81" s="1">
        <v>9.1999999999999993</v>
      </c>
      <c r="D81" s="1">
        <v>2.85</v>
      </c>
      <c r="E81" s="3"/>
      <c r="F81" s="123">
        <f t="shared" si="4"/>
        <v>0</v>
      </c>
      <c r="M81" s="114"/>
      <c r="N81" s="67" t="s">
        <v>299</v>
      </c>
      <c r="O81" s="4">
        <v>14.2</v>
      </c>
      <c r="P81" s="57"/>
      <c r="Q81" s="121">
        <f t="shared" si="7"/>
        <v>0</v>
      </c>
      <c r="R81" s="114"/>
      <c r="T81" s="124" t="s">
        <v>305</v>
      </c>
      <c r="U81" s="80">
        <v>79.599999999999994</v>
      </c>
      <c r="V81" s="81"/>
      <c r="W81" s="52">
        <f>V81*U81</f>
        <v>0</v>
      </c>
    </row>
    <row r="82" spans="2:23" ht="15.75" customHeight="1" thickBot="1">
      <c r="B82" s="45" t="s">
        <v>145</v>
      </c>
      <c r="C82" s="1">
        <v>9.4</v>
      </c>
      <c r="D82" s="1">
        <v>3</v>
      </c>
      <c r="E82" s="3"/>
      <c r="F82" s="123">
        <f t="shared" si="4"/>
        <v>0</v>
      </c>
      <c r="M82" s="114"/>
      <c r="N82" s="67" t="s">
        <v>300</v>
      </c>
      <c r="O82" s="4">
        <v>20.3</v>
      </c>
      <c r="P82" s="57"/>
      <c r="Q82" s="121">
        <f t="shared" si="7"/>
        <v>0</v>
      </c>
      <c r="R82" s="114"/>
      <c r="T82" s="543" t="s">
        <v>153</v>
      </c>
      <c r="U82" s="543"/>
      <c r="V82" s="95">
        <f>SUM(V64:V81)</f>
        <v>0</v>
      </c>
      <c r="W82" s="125">
        <f>SUM(W64:W81)</f>
        <v>0</v>
      </c>
    </row>
    <row r="83" spans="2:23" ht="15.75" customHeight="1" thickBot="1">
      <c r="B83" s="45" t="s">
        <v>145</v>
      </c>
      <c r="C83" s="1">
        <v>9.6</v>
      </c>
      <c r="D83" s="1">
        <v>3.15</v>
      </c>
      <c r="E83" s="3"/>
      <c r="F83" s="123">
        <f t="shared" si="4"/>
        <v>0</v>
      </c>
      <c r="M83" s="114"/>
      <c r="N83" s="126" t="s">
        <v>303</v>
      </c>
      <c r="O83" s="127">
        <v>52.2</v>
      </c>
      <c r="P83" s="81"/>
      <c r="Q83" s="128">
        <f t="shared" si="7"/>
        <v>0</v>
      </c>
      <c r="R83" s="114"/>
    </row>
    <row r="84" spans="2:23" ht="15.75" customHeight="1" thickBot="1">
      <c r="B84" s="45" t="s">
        <v>145</v>
      </c>
      <c r="C84" s="1">
        <v>9.8000000000000007</v>
      </c>
      <c r="D84" s="1">
        <v>3.35</v>
      </c>
      <c r="E84" s="3"/>
      <c r="F84" s="123">
        <f t="shared" si="4"/>
        <v>0</v>
      </c>
      <c r="M84" s="114"/>
      <c r="N84" s="543" t="s">
        <v>154</v>
      </c>
      <c r="O84" s="543"/>
      <c r="P84" s="95">
        <f>SUM(P69:P83)</f>
        <v>0</v>
      </c>
      <c r="Q84" s="83">
        <f>SUM(Q69:Q83)</f>
        <v>0</v>
      </c>
      <c r="R84" s="114"/>
    </row>
    <row r="85" spans="2:23" ht="15.75" customHeight="1">
      <c r="B85" s="45" t="s">
        <v>145</v>
      </c>
      <c r="C85" s="1">
        <v>10</v>
      </c>
      <c r="D85" s="1">
        <v>3.5</v>
      </c>
      <c r="E85" s="3"/>
      <c r="F85" s="123">
        <f t="shared" si="4"/>
        <v>0</v>
      </c>
      <c r="M85" s="114"/>
      <c r="N85" s="114"/>
      <c r="O85" s="114"/>
      <c r="P85" s="114"/>
      <c r="Q85" s="114"/>
      <c r="R85" s="114"/>
    </row>
    <row r="86" spans="2:23" ht="15.75" customHeight="1">
      <c r="B86" s="45" t="s">
        <v>145</v>
      </c>
      <c r="C86" s="1">
        <v>10.199999999999999</v>
      </c>
      <c r="D86" s="1">
        <v>3.75</v>
      </c>
      <c r="E86" s="3"/>
      <c r="F86" s="123">
        <f>E86*D86</f>
        <v>0</v>
      </c>
      <c r="M86" s="114"/>
      <c r="N86" s="114"/>
      <c r="O86" s="114"/>
      <c r="P86" s="114"/>
      <c r="Q86" s="114"/>
      <c r="R86" s="114"/>
    </row>
    <row r="87" spans="2:23" ht="15.75" customHeight="1">
      <c r="B87" s="45" t="s">
        <v>145</v>
      </c>
      <c r="C87" s="1">
        <v>10.4</v>
      </c>
      <c r="D87" s="1">
        <v>4</v>
      </c>
      <c r="E87" s="3"/>
      <c r="F87" s="123">
        <f t="shared" ref="F87:F101" si="8">E87*D87</f>
        <v>0</v>
      </c>
      <c r="M87" s="114"/>
      <c r="N87" s="114"/>
      <c r="O87" s="114"/>
      <c r="P87" s="114"/>
      <c r="Q87" s="114"/>
      <c r="R87" s="114"/>
    </row>
    <row r="88" spans="2:23" ht="15.75" customHeight="1">
      <c r="B88" s="45" t="s">
        <v>145</v>
      </c>
      <c r="C88" s="1">
        <v>10.6</v>
      </c>
      <c r="D88" s="1">
        <v>4.25</v>
      </c>
      <c r="E88" s="3"/>
      <c r="F88" s="123">
        <f t="shared" si="8"/>
        <v>0</v>
      </c>
      <c r="M88" s="114"/>
      <c r="N88" s="114"/>
      <c r="O88" s="114"/>
      <c r="P88" s="114"/>
      <c r="Q88" s="114"/>
      <c r="R88" s="114"/>
    </row>
    <row r="89" spans="2:23">
      <c r="B89" s="45" t="s">
        <v>145</v>
      </c>
      <c r="C89" s="1">
        <v>10.8</v>
      </c>
      <c r="D89" s="1">
        <v>4.5</v>
      </c>
      <c r="E89" s="3"/>
      <c r="F89" s="123">
        <f t="shared" si="8"/>
        <v>0</v>
      </c>
      <c r="M89" s="114"/>
      <c r="N89" s="114"/>
      <c r="O89" s="114"/>
      <c r="P89" s="114"/>
      <c r="Q89" s="114"/>
      <c r="R89" s="114"/>
    </row>
    <row r="90" spans="2:23">
      <c r="B90" s="45" t="s">
        <v>145</v>
      </c>
      <c r="C90" s="1">
        <v>11</v>
      </c>
      <c r="D90" s="1">
        <v>4.75</v>
      </c>
      <c r="E90" s="3"/>
      <c r="F90" s="123">
        <f t="shared" si="8"/>
        <v>0</v>
      </c>
      <c r="M90" s="114"/>
      <c r="N90" s="114"/>
      <c r="O90" s="114"/>
      <c r="P90" s="114"/>
      <c r="Q90" s="114"/>
      <c r="R90" s="114"/>
    </row>
    <row r="91" spans="2:23">
      <c r="B91" s="45" t="s">
        <v>145</v>
      </c>
      <c r="C91" s="1">
        <v>11.2</v>
      </c>
      <c r="D91" s="1">
        <v>5</v>
      </c>
      <c r="E91" s="3"/>
      <c r="F91" s="123">
        <f t="shared" si="8"/>
        <v>0</v>
      </c>
      <c r="M91" s="114"/>
      <c r="N91" s="114"/>
      <c r="O91" s="114"/>
      <c r="P91" s="114"/>
      <c r="Q91" s="114"/>
      <c r="R91" s="114"/>
    </row>
    <row r="92" spans="2:23">
      <c r="B92" s="45" t="s">
        <v>145</v>
      </c>
      <c r="C92" s="1">
        <v>12</v>
      </c>
      <c r="D92" s="1">
        <v>6</v>
      </c>
      <c r="E92" s="3"/>
      <c r="F92" s="123">
        <f t="shared" si="8"/>
        <v>0</v>
      </c>
    </row>
    <row r="93" spans="2:23">
      <c r="B93" s="45" t="s">
        <v>145</v>
      </c>
      <c r="C93" s="1">
        <v>13</v>
      </c>
      <c r="D93" s="1">
        <v>7.75</v>
      </c>
      <c r="E93" s="3"/>
      <c r="F93" s="123">
        <f t="shared" si="8"/>
        <v>0</v>
      </c>
    </row>
    <row r="94" spans="2:23">
      <c r="B94" s="45" t="s">
        <v>145</v>
      </c>
      <c r="C94" s="1">
        <v>14</v>
      </c>
      <c r="D94" s="1">
        <v>9.65</v>
      </c>
      <c r="E94" s="3"/>
      <c r="F94" s="123">
        <f t="shared" si="8"/>
        <v>0</v>
      </c>
    </row>
    <row r="95" spans="2:23">
      <c r="B95" s="45" t="s">
        <v>145</v>
      </c>
      <c r="C95" s="1">
        <v>15</v>
      </c>
      <c r="D95" s="1">
        <v>11.85</v>
      </c>
      <c r="E95" s="3"/>
      <c r="F95" s="123">
        <f t="shared" si="8"/>
        <v>0</v>
      </c>
    </row>
    <row r="96" spans="2:23">
      <c r="B96" s="45" t="s">
        <v>145</v>
      </c>
      <c r="C96" s="1">
        <v>16</v>
      </c>
      <c r="D96" s="1">
        <v>14.35</v>
      </c>
      <c r="E96" s="3"/>
      <c r="F96" s="123">
        <f t="shared" si="8"/>
        <v>0</v>
      </c>
    </row>
    <row r="97" spans="2:6">
      <c r="B97" s="45" t="s">
        <v>145</v>
      </c>
      <c r="C97" s="1">
        <v>17</v>
      </c>
      <c r="D97" s="1">
        <v>17.25</v>
      </c>
      <c r="E97" s="3"/>
      <c r="F97" s="123">
        <f t="shared" si="8"/>
        <v>0</v>
      </c>
    </row>
    <row r="98" spans="2:6">
      <c r="B98" s="45" t="s">
        <v>145</v>
      </c>
      <c r="C98" s="1">
        <v>18</v>
      </c>
      <c r="D98" s="1">
        <v>20.5</v>
      </c>
      <c r="E98" s="3"/>
      <c r="F98" s="123">
        <f t="shared" si="8"/>
        <v>0</v>
      </c>
    </row>
    <row r="99" spans="2:6">
      <c r="B99" s="45" t="s">
        <v>145</v>
      </c>
      <c r="C99" s="1">
        <v>19</v>
      </c>
      <c r="D99" s="1">
        <v>24</v>
      </c>
      <c r="E99" s="3"/>
      <c r="F99" s="123">
        <f t="shared" si="8"/>
        <v>0</v>
      </c>
    </row>
    <row r="100" spans="2:6">
      <c r="B100" s="45" t="s">
        <v>145</v>
      </c>
      <c r="C100" s="1">
        <v>20</v>
      </c>
      <c r="D100" s="1">
        <v>28</v>
      </c>
      <c r="E100" s="3"/>
      <c r="F100" s="123">
        <f t="shared" si="8"/>
        <v>0</v>
      </c>
    </row>
    <row r="101" spans="2:6">
      <c r="B101" s="45" t="s">
        <v>145</v>
      </c>
      <c r="C101" s="1">
        <v>21</v>
      </c>
      <c r="D101" s="1">
        <v>34.799999999999997</v>
      </c>
      <c r="E101" s="3"/>
      <c r="F101" s="123">
        <f t="shared" si="8"/>
        <v>0</v>
      </c>
    </row>
    <row r="102" spans="2:6" ht="15.75" thickBot="1">
      <c r="B102" s="45" t="s">
        <v>145</v>
      </c>
      <c r="C102" s="115">
        <v>22</v>
      </c>
      <c r="D102" s="115">
        <v>41.8</v>
      </c>
      <c r="E102" s="116"/>
      <c r="F102" s="117">
        <f>E102*D102</f>
        <v>0</v>
      </c>
    </row>
    <row r="103" spans="2:6" ht="15.75" thickBot="1">
      <c r="B103" s="530" t="s">
        <v>33</v>
      </c>
      <c r="C103" s="530"/>
      <c r="D103" s="531"/>
      <c r="E103" s="129">
        <f>SUM(E9:E102)</f>
        <v>0</v>
      </c>
      <c r="F103" s="129">
        <f>SUM(F9:F102)</f>
        <v>0</v>
      </c>
    </row>
  </sheetData>
  <protectedRanges>
    <protectedRange sqref="P9:P63" name="Range3"/>
    <protectedRange sqref="E86:E102" name="Range1_2"/>
  </protectedRanges>
  <mergeCells count="25">
    <mergeCell ref="H58:I58"/>
    <mergeCell ref="E2:W3"/>
    <mergeCell ref="D5:E5"/>
    <mergeCell ref="B6:F6"/>
    <mergeCell ref="H6:K6"/>
    <mergeCell ref="M6:Q6"/>
    <mergeCell ref="S6:W6"/>
    <mergeCell ref="S36:U36"/>
    <mergeCell ref="S38:W38"/>
    <mergeCell ref="H46:I46"/>
    <mergeCell ref="H56:I56"/>
    <mergeCell ref="H57:I57"/>
    <mergeCell ref="T82:U82"/>
    <mergeCell ref="N84:O84"/>
    <mergeCell ref="H59:I59"/>
    <mergeCell ref="S59:U59"/>
    <mergeCell ref="H60:I60"/>
    <mergeCell ref="H61:I61"/>
    <mergeCell ref="T61:W61"/>
    <mergeCell ref="H62:I62"/>
    <mergeCell ref="B103:D103"/>
    <mergeCell ref="H63:I63"/>
    <mergeCell ref="H64:I64"/>
    <mergeCell ref="M64:O64"/>
    <mergeCell ref="N66:Q66"/>
  </mergeCells>
  <dataValidations count="6">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HK982839:VHK982851 UXO982839:UXO982851 UNS982839:UNS982851 UDW982839:UDW982851 TUA982839:TUA982851 TKE982839:TKE982851 TAI982839:TAI982851 SQM982839:SQM982851 SGQ982839:SGQ982851 RWU982839:RWU982851 RMY982839:RMY982851 RDC982839:RDC982851 QTG982839:QTG982851 QJK982839:QJK982851 PZO982839:PZO982851 PPS982839:PPS982851 PFW982839:PFW982851 OWA982839:OWA982851 OME982839:OME982851 OCI982839:OCI982851 NSM982839:NSM982851 NIQ982839:NIQ982851 MYU982839:MYU982851 MOY982839:MOY982851 MFC982839:MFC982851 LVG982839:LVG982851 LLK982839:LLK982851 LBO982839:LBO982851 KRS982839:KRS982851 KHW982839:KHW982851 JYA982839:JYA982851 JOE982839:JOE982851 JEI982839:JEI982851 IUM982839:IUM982851 IKQ982839:IKQ982851 IAU982839:IAU982851 HQY982839:HQY982851 HHC982839:HHC982851 GXG982839:GXG982851 GNK982839:GNK982851 GDO982839:GDO982851 FTS982839:FTS982851 FJW982839:FJW982851 FAA982839:FAA982851 EQE982839:EQE982851 EGI982839:EGI982851 DWM982839:DWM982851 DMQ982839:DMQ982851 DCU982839:DCU982851 CSY982839:CSY982851 CJC982839:CJC982851 BZG982839:BZG982851 BPK982839:BPK982851 BFO982839:BFO982851 AVS982839:AVS982851 ALW982839:ALW982851 ACA982839:ACA982851 SE982839:SE982851 II982839:II982851 WUU917303:WUU917315 WKY917303:WKY917315 WBC917303:WBC917315 VRG917303:VRG917315 VHK917303:VHK917315 UXO917303:UXO917315 UNS917303:UNS917315 UDW917303:UDW917315 TUA917303:TUA917315 TKE917303:TKE917315 TAI917303:TAI917315 SQM917303:SQM917315 SGQ917303:SGQ917315 RWU917303:RWU917315 RMY917303:RMY917315 RDC917303:RDC917315 QTG917303:QTG917315 QJK917303:QJK917315 PZO917303:PZO917315 PPS917303:PPS917315 PFW917303:PFW917315 OWA917303:OWA917315 OME917303:OME917315 OCI917303:OCI917315 NSM917303:NSM917315 NIQ917303:NIQ917315 MYU917303:MYU917315 MOY917303:MOY917315 MFC917303:MFC917315 LVG917303:LVG917315 LLK917303:LLK917315 LBO917303:LBO917315 KRS917303:KRS917315 KHW917303:KHW917315 JYA917303:JYA917315 JOE917303:JOE917315 JEI917303:JEI917315 IUM917303:IUM917315 IKQ917303:IKQ917315 IAU917303:IAU917315 HQY917303:HQY917315 HHC917303:HHC917315 GXG917303:GXG917315 GNK917303:GNK917315 GDO917303:GDO917315 FTS917303:FTS917315 FJW917303:FJW917315 FAA917303:FAA917315 EQE917303:EQE917315 EGI917303:EGI917315 DWM917303:DWM917315 DMQ917303:DMQ917315 DCU917303:DCU917315 CSY917303:CSY917315 CJC917303:CJC917315 BZG917303:BZG917315 BPK917303:BPK917315 BFO917303:BFO917315 AVS917303:AVS917315 ALW917303:ALW917315 ACA917303:ACA917315 SE917303:SE917315 II917303:II917315 WUU851767:WUU851779 WKY851767:WKY851779 WBC851767:WBC851779 VRG851767:VRG851779 VHK851767:VHK851779 UXO851767:UXO851779 UNS851767:UNS851779 UDW851767:UDW851779 TUA851767:TUA851779 TKE851767:TKE851779 TAI851767:TAI851779 SQM851767:SQM851779 SGQ851767:SGQ851779 RWU851767:RWU851779 RMY851767:RMY851779 RDC851767:RDC851779 QTG851767:QTG851779 QJK851767:QJK851779 PZO851767:PZO851779 PPS851767:PPS851779 PFW851767:PFW851779 OWA851767:OWA851779 OME851767:OME851779 OCI851767:OCI851779 NSM851767:NSM851779 NIQ851767:NIQ851779 MYU851767:MYU851779 MOY851767:MOY851779 MFC851767:MFC851779 LVG851767:LVG851779 LLK851767:LLK851779 LBO851767:LBO851779 KRS851767:KRS851779 KHW851767:KHW851779 JYA851767:JYA851779 JOE851767:JOE851779 JEI851767:JEI851779 IUM851767:IUM851779 IKQ851767:IKQ851779 IAU851767:IAU851779 HQY851767:HQY851779 HHC851767:HHC851779 GXG851767:GXG851779 GNK851767:GNK851779 GDO851767:GDO851779 FTS851767:FTS851779 FJW851767:FJW851779 FAA851767:FAA851779 EQE851767:EQE851779 EGI851767:EGI851779 DWM851767:DWM851779 DMQ851767:DMQ851779 DCU851767:DCU851779 CSY851767:CSY851779 CJC851767:CJC851779 BZG851767:BZG851779 BPK851767:BPK851779 BFO851767:BFO851779 AVS851767:AVS851779 ALW851767:ALW851779 ACA851767:ACA851779 SE851767:SE851779 II851767:II851779 WUU786231:WUU786243 WKY786231:WKY786243 WBC786231:WBC786243 VRG786231:VRG786243 VHK786231:VHK786243 UXO786231:UXO786243 UNS786231:UNS786243 UDW786231:UDW786243 TUA786231:TUA786243 TKE786231:TKE786243 TAI786231:TAI786243 SQM786231:SQM786243 SGQ786231:SGQ786243 RWU786231:RWU786243 RMY786231:RMY786243 RDC786231:RDC786243 QTG786231:QTG786243 QJK786231:QJK786243 PZO786231:PZO786243 PPS786231:PPS786243 PFW786231:PFW786243 OWA786231:OWA786243 OME786231:OME786243 OCI786231:OCI786243 NSM786231:NSM786243 NIQ786231:NIQ786243 MYU786231:MYU786243 MOY786231:MOY786243 MFC786231:MFC786243 LVG786231:LVG786243 LLK786231:LLK786243 LBO786231:LBO786243 KRS786231:KRS786243 KHW786231:KHW786243 JYA786231:JYA786243 JOE786231:JOE786243 JEI786231:JEI786243 IUM786231:IUM786243 IKQ786231:IKQ786243 IAU786231:IAU786243 HQY786231:HQY786243 HHC786231:HHC786243 GXG786231:GXG786243 GNK786231:GNK786243 GDO786231:GDO786243 FTS786231:FTS786243 FJW786231:FJW786243 FAA786231:FAA786243 EQE786231:EQE786243 EGI786231:EGI786243 DWM786231:DWM786243 DMQ786231:DMQ786243 DCU786231:DCU786243 CSY786231:CSY786243 CJC786231:CJC786243 BZG786231:BZG786243 BPK786231:BPK786243 BFO786231:BFO786243 AVS786231:AVS786243 ALW786231:ALW786243 ACA786231:ACA786243 SE786231:SE786243 II786231:II786243 WUU720695:WUU720707 WKY720695:WKY720707 WBC720695:WBC720707 VRG720695:VRG720707 VHK720695:VHK720707 UXO720695:UXO720707 UNS720695:UNS720707 UDW720695:UDW720707 TUA720695:TUA720707 TKE720695:TKE720707 TAI720695:TAI720707 SQM720695:SQM720707 SGQ720695:SGQ720707 RWU720695:RWU720707 RMY720695:RMY720707 RDC720695:RDC720707 QTG720695:QTG720707 QJK720695:QJK720707 PZO720695:PZO720707 PPS720695:PPS720707 PFW720695:PFW720707 OWA720695:OWA720707 OME720695:OME720707 OCI720695:OCI720707 NSM720695:NSM720707 NIQ720695:NIQ720707 MYU720695:MYU720707 MOY720695:MOY720707 MFC720695:MFC720707 LVG720695:LVG720707 LLK720695:LLK720707 LBO720695:LBO720707 KRS720695:KRS720707 KHW720695:KHW720707 JYA720695:JYA720707 JOE720695:JOE720707 JEI720695:JEI720707 IUM720695:IUM720707 IKQ720695:IKQ720707 IAU720695:IAU720707 HQY720695:HQY720707 HHC720695:HHC720707 GXG720695:GXG720707 GNK720695:GNK720707 GDO720695:GDO720707 FTS720695:FTS720707 FJW720695:FJW720707 FAA720695:FAA720707 EQE720695:EQE720707 EGI720695:EGI720707 DWM720695:DWM720707 DMQ720695:DMQ720707 DCU720695:DCU720707 CSY720695:CSY720707 CJC720695:CJC720707 BZG720695:BZG720707 BPK720695:BPK720707 BFO720695:BFO720707 AVS720695:AVS720707 ALW720695:ALW720707 ACA720695:ACA720707 SE720695:SE720707 II720695:II720707 WUU655159:WUU655171 WKY655159:WKY655171 WBC655159:WBC655171 VRG655159:VRG655171 VHK655159:VHK655171 UXO655159:UXO655171 UNS655159:UNS655171 UDW655159:UDW655171 TUA655159:TUA655171 TKE655159:TKE655171 TAI655159:TAI655171 SQM655159:SQM655171 SGQ655159:SGQ655171 RWU655159:RWU655171 RMY655159:RMY655171 RDC655159:RDC655171 QTG655159:QTG655171 QJK655159:QJK655171 PZO655159:PZO655171 PPS655159:PPS655171 PFW655159:PFW655171 OWA655159:OWA655171 OME655159:OME655171 OCI655159:OCI655171 NSM655159:NSM655171 NIQ655159:NIQ655171 MYU655159:MYU655171 MOY655159:MOY655171 MFC655159:MFC655171 LVG655159:LVG655171 LLK655159:LLK655171 LBO655159:LBO655171 KRS655159:KRS655171 KHW655159:KHW655171 JYA655159:JYA655171 JOE655159:JOE655171 JEI655159:JEI655171 IUM655159:IUM655171 IKQ655159:IKQ655171 IAU655159:IAU655171 HQY655159:HQY655171 HHC655159:HHC655171 GXG655159:GXG655171 GNK655159:GNK655171 GDO655159:GDO655171 FTS655159:FTS655171 FJW655159:FJW655171 FAA655159:FAA655171 EQE655159:EQE655171 EGI655159:EGI655171 DWM655159:DWM655171 DMQ655159:DMQ655171 DCU655159:DCU655171 CSY655159:CSY655171 CJC655159:CJC655171 BZG655159:BZG655171 BPK655159:BPK655171 BFO655159:BFO655171 AVS655159:AVS655171 ALW655159:ALW655171 ACA655159:ACA655171 SE655159:SE655171 II655159:II655171 WUU589623:WUU589635 WKY589623:WKY589635 WBC589623:WBC589635 VRG589623:VRG589635 VHK589623:VHK589635 UXO589623:UXO589635 UNS589623:UNS589635 UDW589623:UDW589635 TUA589623:TUA589635 TKE589623:TKE589635 TAI589623:TAI589635 SQM589623:SQM589635 SGQ589623:SGQ589635 RWU589623:RWU589635 RMY589623:RMY589635 RDC589623:RDC589635 QTG589623:QTG589635 QJK589623:QJK589635 PZO589623:PZO589635 PPS589623:PPS589635 PFW589623:PFW589635 OWA589623:OWA589635 OME589623:OME589635 OCI589623:OCI589635 NSM589623:NSM589635 NIQ589623:NIQ589635 MYU589623:MYU589635 MOY589623:MOY589635 MFC589623:MFC589635 LVG589623:LVG589635 LLK589623:LLK589635 LBO589623:LBO589635 KRS589623:KRS589635 KHW589623:KHW589635 JYA589623:JYA589635 JOE589623:JOE589635 JEI589623:JEI589635 IUM589623:IUM589635 IKQ589623:IKQ589635 IAU589623:IAU589635 HQY589623:HQY589635 HHC589623:HHC589635 GXG589623:GXG589635 GNK589623:GNK589635 GDO589623:GDO589635 FTS589623:FTS589635 FJW589623:FJW589635 FAA589623:FAA589635 EQE589623:EQE589635 EGI589623:EGI589635 DWM589623:DWM589635 DMQ589623:DMQ589635 DCU589623:DCU589635 CSY589623:CSY589635 CJC589623:CJC589635 BZG589623:BZG589635 BPK589623:BPK589635 BFO589623:BFO589635 AVS589623:AVS589635 ALW589623:ALW589635 ACA589623:ACA589635 SE589623:SE589635 II589623:II589635 WUU524087:WUU524099 WKY524087:WKY524099 WBC524087:WBC524099 VRG524087:VRG524099 VHK524087:VHK524099 UXO524087:UXO524099 UNS524087:UNS524099 UDW524087:UDW524099 TUA524087:TUA524099 TKE524087:TKE524099 TAI524087:TAI524099 SQM524087:SQM524099 SGQ524087:SGQ524099 RWU524087:RWU524099 RMY524087:RMY524099 RDC524087:RDC524099 QTG524087:QTG524099 QJK524087:QJK524099 PZO524087:PZO524099 PPS524087:PPS524099 PFW524087:PFW524099 OWA524087:OWA524099 OME524087:OME524099 OCI524087:OCI524099 NSM524087:NSM524099 NIQ524087:NIQ524099 MYU524087:MYU524099 MOY524087:MOY524099 MFC524087:MFC524099 LVG524087:LVG524099 LLK524087:LLK524099 LBO524087:LBO524099 KRS524087:KRS524099 KHW524087:KHW524099 JYA524087:JYA524099 JOE524087:JOE524099 JEI524087:JEI524099 IUM524087:IUM524099 IKQ524087:IKQ524099 IAU524087:IAU524099 HQY524087:HQY524099 HHC524087:HHC524099 GXG524087:GXG524099 GNK524087:GNK524099 GDO524087:GDO524099 FTS524087:FTS524099 FJW524087:FJW524099 FAA524087:FAA524099 EQE524087:EQE524099 EGI524087:EGI524099 DWM524087:DWM524099 DMQ524087:DMQ524099 DCU524087:DCU524099 CSY524087:CSY524099 CJC524087:CJC524099 BZG524087:BZG524099 BPK524087:BPK524099 BFO524087:BFO524099 AVS524087:AVS524099 ALW524087:ALW524099 ACA524087:ACA524099 SE524087:SE524099 II524087:II524099 WUU458551:WUU458563 WKY458551:WKY458563 WBC458551:WBC458563 VRG458551:VRG458563 VHK458551:VHK458563 UXO458551:UXO458563 UNS458551:UNS458563 UDW458551:UDW458563 TUA458551:TUA458563 TKE458551:TKE458563 TAI458551:TAI458563 SQM458551:SQM458563 SGQ458551:SGQ458563 RWU458551:RWU458563 RMY458551:RMY458563 RDC458551:RDC458563 QTG458551:QTG458563 QJK458551:QJK458563 PZO458551:PZO458563 PPS458551:PPS458563 PFW458551:PFW458563 OWA458551:OWA458563 OME458551:OME458563 OCI458551:OCI458563 NSM458551:NSM458563 NIQ458551:NIQ458563 MYU458551:MYU458563 MOY458551:MOY458563 MFC458551:MFC458563 LVG458551:LVG458563 LLK458551:LLK458563 LBO458551:LBO458563 KRS458551:KRS458563 KHW458551:KHW458563 JYA458551:JYA458563 JOE458551:JOE458563 JEI458551:JEI458563 IUM458551:IUM458563 IKQ458551:IKQ458563 IAU458551:IAU458563 HQY458551:HQY458563 HHC458551:HHC458563 GXG458551:GXG458563 GNK458551:GNK458563 GDO458551:GDO458563 FTS458551:FTS458563 FJW458551:FJW458563 FAA458551:FAA458563 EQE458551:EQE458563 EGI458551:EGI458563 DWM458551:DWM458563 DMQ458551:DMQ458563 DCU458551:DCU458563 CSY458551:CSY458563 CJC458551:CJC458563 BZG458551:BZG458563 BPK458551:BPK458563 BFO458551:BFO458563 AVS458551:AVS458563 ALW458551:ALW458563 ACA458551:ACA458563 SE458551:SE458563 II458551:II458563 WUU393015:WUU393027 WKY393015:WKY393027 WBC393015:WBC393027 VRG393015:VRG393027 VHK393015:VHK393027 UXO393015:UXO393027 UNS393015:UNS393027 UDW393015:UDW393027 TUA393015:TUA393027 TKE393015:TKE393027 TAI393015:TAI393027 SQM393015:SQM393027 SGQ393015:SGQ393027 RWU393015:RWU393027 RMY393015:RMY393027 RDC393015:RDC393027 QTG393015:QTG393027 QJK393015:QJK393027 PZO393015:PZO393027 PPS393015:PPS393027 PFW393015:PFW393027 OWA393015:OWA393027 OME393015:OME393027 OCI393015:OCI393027 NSM393015:NSM393027 NIQ393015:NIQ393027 MYU393015:MYU393027 MOY393015:MOY393027 MFC393015:MFC393027 LVG393015:LVG393027 LLK393015:LLK393027 LBO393015:LBO393027 KRS393015:KRS393027 KHW393015:KHW393027 JYA393015:JYA393027 JOE393015:JOE393027 JEI393015:JEI393027 IUM393015:IUM393027 IKQ393015:IKQ393027 IAU393015:IAU393027 HQY393015:HQY393027 HHC393015:HHC393027 GXG393015:GXG393027 GNK393015:GNK393027 GDO393015:GDO393027 FTS393015:FTS393027 FJW393015:FJW393027 FAA393015:FAA393027 EQE393015:EQE393027 EGI393015:EGI393027 DWM393015:DWM393027 DMQ393015:DMQ393027 DCU393015:DCU393027 CSY393015:CSY393027 CJC393015:CJC393027 BZG393015:BZG393027 BPK393015:BPK393027 BFO393015:BFO393027 AVS393015:AVS393027 ALW393015:ALW393027 ACA393015:ACA393027 SE393015:SE393027 II393015:II393027 WUU327479:WUU327491 WKY327479:WKY327491 WBC327479:WBC327491 VRG327479:VRG327491 VHK327479:VHK327491 UXO327479:UXO327491 UNS327479:UNS327491 UDW327479:UDW327491 TUA327479:TUA327491 TKE327479:TKE327491 TAI327479:TAI327491 SQM327479:SQM327491 SGQ327479:SGQ327491 RWU327479:RWU327491 RMY327479:RMY327491 RDC327479:RDC327491 QTG327479:QTG327491 QJK327479:QJK327491 PZO327479:PZO327491 PPS327479:PPS327491 PFW327479:PFW327491 OWA327479:OWA327491 OME327479:OME327491 OCI327479:OCI327491 NSM327479:NSM327491 NIQ327479:NIQ327491 MYU327479:MYU327491 MOY327479:MOY327491 MFC327479:MFC327491 LVG327479:LVG327491 LLK327479:LLK327491 LBO327479:LBO327491 KRS327479:KRS327491 KHW327479:KHW327491 JYA327479:JYA327491 JOE327479:JOE327491 JEI327479:JEI327491 IUM327479:IUM327491 IKQ327479:IKQ327491 IAU327479:IAU327491 HQY327479:HQY327491 HHC327479:HHC327491 GXG327479:GXG327491 GNK327479:GNK327491 GDO327479:GDO327491 FTS327479:FTS327491 FJW327479:FJW327491 FAA327479:FAA327491 EQE327479:EQE327491 EGI327479:EGI327491 DWM327479:DWM327491 DMQ327479:DMQ327491 DCU327479:DCU327491 CSY327479:CSY327491 CJC327479:CJC327491 BZG327479:BZG327491 BPK327479:BPK327491 BFO327479:BFO327491 AVS327479:AVS327491 ALW327479:ALW327491 ACA327479:ACA327491 SE327479:SE327491 II327479:II327491 WUU261943:WUU261955 WKY261943:WKY261955 WBC261943:WBC261955 VRG261943:VRG261955 VHK261943:VHK261955 UXO261943:UXO261955 UNS261943:UNS261955 UDW261943:UDW261955 TUA261943:TUA261955 TKE261943:TKE261955 TAI261943:TAI261955 SQM261943:SQM261955 SGQ261943:SGQ261955 RWU261943:RWU261955 RMY261943:RMY261955 RDC261943:RDC261955 QTG261943:QTG261955 QJK261943:QJK261955 PZO261943:PZO261955 PPS261943:PPS261955 PFW261943:PFW261955 OWA261943:OWA261955 OME261943:OME261955 OCI261943:OCI261955 NSM261943:NSM261955 NIQ261943:NIQ261955 MYU261943:MYU261955 MOY261943:MOY261955 MFC261943:MFC261955 LVG261943:LVG261955 LLK261943:LLK261955 LBO261943:LBO261955 KRS261943:KRS261955 KHW261943:KHW261955 JYA261943:JYA261955 JOE261943:JOE261955 JEI261943:JEI261955 IUM261943:IUM261955 IKQ261943:IKQ261955 IAU261943:IAU261955 HQY261943:HQY261955 HHC261943:HHC261955 GXG261943:GXG261955 GNK261943:GNK261955 GDO261943:GDO261955 FTS261943:FTS261955 FJW261943:FJW261955 FAA261943:FAA261955 EQE261943:EQE261955 EGI261943:EGI261955 DWM261943:DWM261955 DMQ261943:DMQ261955 DCU261943:DCU261955 CSY261943:CSY261955 CJC261943:CJC261955 BZG261943:BZG261955 BPK261943:BPK261955 BFO261943:BFO261955 AVS261943:AVS261955 ALW261943:ALW261955 ACA261943:ACA261955 SE261943:SE261955 II261943:II261955 WUU196407:WUU196419 WKY196407:WKY196419 WBC196407:WBC196419 VRG196407:VRG196419 VHK196407:VHK196419 UXO196407:UXO196419 UNS196407:UNS196419 UDW196407:UDW196419 TUA196407:TUA196419 TKE196407:TKE196419 TAI196407:TAI196419 SQM196407:SQM196419 SGQ196407:SGQ196419 RWU196407:RWU196419 RMY196407:RMY196419 RDC196407:RDC196419 QTG196407:QTG196419 QJK196407:QJK196419 PZO196407:PZO196419 PPS196407:PPS196419 PFW196407:PFW196419 OWA196407:OWA196419 OME196407:OME196419 OCI196407:OCI196419 NSM196407:NSM196419 NIQ196407:NIQ196419 MYU196407:MYU196419 MOY196407:MOY196419 MFC196407:MFC196419 LVG196407:LVG196419 LLK196407:LLK196419 LBO196407:LBO196419 KRS196407:KRS196419 KHW196407:KHW196419 JYA196407:JYA196419 JOE196407:JOE196419 JEI196407:JEI196419 IUM196407:IUM196419 IKQ196407:IKQ196419 IAU196407:IAU196419 HQY196407:HQY196419 HHC196407:HHC196419 GXG196407:GXG196419 GNK196407:GNK196419 GDO196407:GDO196419 FTS196407:FTS196419 FJW196407:FJW196419 FAA196407:FAA196419 EQE196407:EQE196419 EGI196407:EGI196419 DWM196407:DWM196419 DMQ196407:DMQ196419 DCU196407:DCU196419 CSY196407:CSY196419 CJC196407:CJC196419 BZG196407:BZG196419 BPK196407:BPK196419 BFO196407:BFO196419 AVS196407:AVS196419 ALW196407:ALW196419 ACA196407:ACA196419 SE196407:SE196419 II196407:II196419 WUU130871:WUU130883 WKY130871:WKY130883 WBC130871:WBC130883 VRG130871:VRG130883 VHK130871:VHK130883 UXO130871:UXO130883 UNS130871:UNS130883 UDW130871:UDW130883 TUA130871:TUA130883 TKE130871:TKE130883 TAI130871:TAI130883 SQM130871:SQM130883 SGQ130871:SGQ130883 RWU130871:RWU130883 RMY130871:RMY130883 RDC130871:RDC130883 QTG130871:QTG130883 QJK130871:QJK130883 PZO130871:PZO130883 PPS130871:PPS130883 PFW130871:PFW130883 OWA130871:OWA130883 OME130871:OME130883 OCI130871:OCI130883 NSM130871:NSM130883 NIQ130871:NIQ130883 MYU130871:MYU130883 MOY130871:MOY130883 MFC130871:MFC130883 LVG130871:LVG130883 LLK130871:LLK130883 LBO130871:LBO130883 KRS130871:KRS130883 KHW130871:KHW130883 JYA130871:JYA130883 JOE130871:JOE130883 JEI130871:JEI130883 IUM130871:IUM130883 IKQ130871:IKQ130883 IAU130871:IAU130883 HQY130871:HQY130883 HHC130871:HHC130883 GXG130871:GXG130883 GNK130871:GNK130883 GDO130871:GDO130883 FTS130871:FTS130883 FJW130871:FJW130883 FAA130871:FAA130883 EQE130871:EQE130883 EGI130871:EGI130883 DWM130871:DWM130883 DMQ130871:DMQ130883 DCU130871:DCU130883 CSY130871:CSY130883 CJC130871:CJC130883 BZG130871:BZG130883 BPK130871:BPK130883 BFO130871:BFO130883 AVS130871:AVS130883 ALW130871:ALW130883 ACA130871:ACA130883 SE130871:SE130883 II130871:II130883 WUU65335:WUU65347 WKY65335:WKY65347 WBC65335:WBC65347 VRG65335:VRG65347 VHK65335:VHK65347 UXO65335:UXO65347 UNS65335:UNS65347 UDW65335:UDW65347 TUA65335:TUA65347 TKE65335:TKE65347 TAI65335:TAI65347 SQM65335:SQM65347 SGQ65335:SGQ65347 RWU65335:RWU65347 RMY65335:RMY65347 RDC65335:RDC65347 QTG65335:QTG65347 QJK65335:QJK65347 PZO65335:PZO65347 PPS65335:PPS65347 PFW65335:PFW65347 OWA65335:OWA65347 OME65335:OME65347 OCI65335:OCI65347 NSM65335:NSM65347 NIQ65335:NIQ65347 MYU65335:MYU65347 MOY65335:MOY65347 MFC65335:MFC65347 LVG65335:LVG65347 LLK65335:LLK65347 LBO65335:LBO65347 KRS65335:KRS65347 KHW65335:KHW65347 JYA65335:JYA65347 JOE65335:JOE65347 JEI65335:JEI65347 IUM65335:IUM65347 IKQ65335:IKQ65347 IAU65335:IAU65347 HQY65335:HQY65347 HHC65335:HHC65347 GXG65335:GXG65347 GNK65335:GNK65347 GDO65335:GDO65347 FTS65335:FTS65347 FJW65335:FJW65347 FAA65335:FAA65347 EQE65335:EQE65347 EGI65335:EGI65347 DWM65335:DWM65347 DMQ65335:DMQ65347 DCU65335:DCU65347 CSY65335:CSY65347 CJC65335:CJC65347 BZG65335:BZG65347 BPK65335:BPK65347 BFO65335:BFO65347 AVS65335:AVS65347 ALW65335:ALW65347 ACA65335:ACA65347 SE65335:SE65347 II65335:II65347 WUU982839:WUU982851 WKY982839:WKY982851 WBC982839:WBC982851 VRG982839:VRG982851 V65337:V65349 V130873:V130885 V196409:V196421 V261945:V261957 V327481:V327493 V393017:V393029 V458553:V458565 V524089:V524101 V589625:V589637 V655161:V655173 V720697:V720709 V786233:V786245 V851769:V851781 V917305:V917317 V982841:V982853" xr:uid="{00000000-0002-0000-0200-000000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 sqref="V65312:V65329 II78:II88 WUU78:WUU88 WKY78:WKY88 WBC78:WBC88 VRG78:VRG88 VHK78:VHK88 UXO78:UXO88 UNS78:UNS88 UDW78:UDW88 TUA78:TUA88 TKE78:TKE88 TAI78:TAI88 SQM78:SQM88 SGQ78:SGQ88 RWU78:RWU88 RMY78:RMY88 RDC78:RDC88 QTG78:QTG88 QJK78:QJK88 PZO78:PZO88 PPS78:PPS88 PFW78:PFW88 OWA78:OWA88 OME78:OME88 OCI78:OCI88 NSM78:NSM88 NIQ78:NIQ88 MYU78:MYU88 MOY78:MOY88 MFC78:MFC88 LVG78:LVG88 LLK78:LLK88 LBO78:LBO88 KRS78:KRS88 KHW78:KHW88 JYA78:JYA88 JOE78:JOE88 JEI78:JEI88 IUM78:IUM88 IKQ78:IKQ88 IAU78:IAU88 HQY78:HQY88 HHC78:HHC88 GXG78:GXG88 GNK78:GNK88 GDO78:GDO88 FTS78:FTS88 FJW78:FJW88 FAA78:FAA88 EQE78:EQE88 EGI78:EGI88 DWM78:DWM88 DMQ78:DMQ88 DCU78:DCU88 CSY78:CSY88 CJC78:CJC88 BZG78:BZG88 BPK78:BPK88 BFO78:BFO88 AVS78:AVS88 ALW78:ALW88 SE78:SE88 ACA78:ACA88 VHK982814:VHK982831 UXO982814:UXO982831 UNS982814:UNS982831 UDW982814:UDW982831 TUA982814:TUA982831 TKE982814:TKE982831 TAI982814:TAI982831 SQM982814:SQM982831 SGQ982814:SGQ982831 RWU982814:RWU982831 RMY982814:RMY982831 RDC982814:RDC982831 QTG982814:QTG982831 QJK982814:QJK982831 PZO982814:PZO982831 PPS982814:PPS982831 PFW982814:PFW982831 OWA982814:OWA982831 OME982814:OME982831 OCI982814:OCI982831 NSM982814:NSM982831 NIQ982814:NIQ982831 MYU982814:MYU982831 MOY982814:MOY982831 MFC982814:MFC982831 LVG982814:LVG982831 LLK982814:LLK982831 LBO982814:LBO982831 KRS982814:KRS982831 KHW982814:KHW982831 JYA982814:JYA982831 JOE982814:JOE982831 JEI982814:JEI982831 IUM982814:IUM982831 IKQ982814:IKQ982831 IAU982814:IAU982831 HQY982814:HQY982831 HHC982814:HHC982831 GXG982814:GXG982831 GNK982814:GNK982831 GDO982814:GDO982831 FTS982814:FTS982831 FJW982814:FJW982831 FAA982814:FAA982831 EQE982814:EQE982831 EGI982814:EGI982831 DWM982814:DWM982831 DMQ982814:DMQ982831 DCU982814:DCU982831 CSY982814:CSY982831 CJC982814:CJC982831 BZG982814:BZG982831 BPK982814:BPK982831 BFO982814:BFO982831 AVS982814:AVS982831 ALW982814:ALW982831 ACA982814:ACA982831 SE982814:SE982831 II982814:II982831 WUU917278:WUU917295 WKY917278:WKY917295 WBC917278:WBC917295 VRG917278:VRG917295 VHK917278:VHK917295 UXO917278:UXO917295 UNS917278:UNS917295 UDW917278:UDW917295 TUA917278:TUA917295 TKE917278:TKE917295 TAI917278:TAI917295 SQM917278:SQM917295 SGQ917278:SGQ917295 RWU917278:RWU917295 RMY917278:RMY917295 RDC917278:RDC917295 QTG917278:QTG917295 QJK917278:QJK917295 PZO917278:PZO917295 PPS917278:PPS917295 PFW917278:PFW917295 OWA917278:OWA917295 OME917278:OME917295 OCI917278:OCI917295 NSM917278:NSM917295 NIQ917278:NIQ917295 MYU917278:MYU917295 MOY917278:MOY917295 MFC917278:MFC917295 LVG917278:LVG917295 LLK917278:LLK917295 LBO917278:LBO917295 KRS917278:KRS917295 KHW917278:KHW917295 JYA917278:JYA917295 JOE917278:JOE917295 JEI917278:JEI917295 IUM917278:IUM917295 IKQ917278:IKQ917295 IAU917278:IAU917295 HQY917278:HQY917295 HHC917278:HHC917295 GXG917278:GXG917295 GNK917278:GNK917295 GDO917278:GDO917295 FTS917278:FTS917295 FJW917278:FJW917295 FAA917278:FAA917295 EQE917278:EQE917295 EGI917278:EGI917295 DWM917278:DWM917295 DMQ917278:DMQ917295 DCU917278:DCU917295 CSY917278:CSY917295 CJC917278:CJC917295 BZG917278:BZG917295 BPK917278:BPK917295 BFO917278:BFO917295 AVS917278:AVS917295 ALW917278:ALW917295 ACA917278:ACA917295 SE917278:SE917295 II917278:II917295 WUU851742:WUU851759 WKY851742:WKY851759 WBC851742:WBC851759 VRG851742:VRG851759 VHK851742:VHK851759 UXO851742:UXO851759 UNS851742:UNS851759 UDW851742:UDW851759 TUA851742:TUA851759 TKE851742:TKE851759 TAI851742:TAI851759 SQM851742:SQM851759 SGQ851742:SGQ851759 RWU851742:RWU851759 RMY851742:RMY851759 RDC851742:RDC851759 QTG851742:QTG851759 QJK851742:QJK851759 PZO851742:PZO851759 PPS851742:PPS851759 PFW851742:PFW851759 OWA851742:OWA851759 OME851742:OME851759 OCI851742:OCI851759 NSM851742:NSM851759 NIQ851742:NIQ851759 MYU851742:MYU851759 MOY851742:MOY851759 MFC851742:MFC851759 LVG851742:LVG851759 LLK851742:LLK851759 LBO851742:LBO851759 KRS851742:KRS851759 KHW851742:KHW851759 JYA851742:JYA851759 JOE851742:JOE851759 JEI851742:JEI851759 IUM851742:IUM851759 IKQ851742:IKQ851759 IAU851742:IAU851759 HQY851742:HQY851759 HHC851742:HHC851759 GXG851742:GXG851759 GNK851742:GNK851759 GDO851742:GDO851759 FTS851742:FTS851759 FJW851742:FJW851759 FAA851742:FAA851759 EQE851742:EQE851759 EGI851742:EGI851759 DWM851742:DWM851759 DMQ851742:DMQ851759 DCU851742:DCU851759 CSY851742:CSY851759 CJC851742:CJC851759 BZG851742:BZG851759 BPK851742:BPK851759 BFO851742:BFO851759 AVS851742:AVS851759 ALW851742:ALW851759 ACA851742:ACA851759 SE851742:SE851759 II851742:II851759 WUU786206:WUU786223 WKY786206:WKY786223 WBC786206:WBC786223 VRG786206:VRG786223 VHK786206:VHK786223 UXO786206:UXO786223 UNS786206:UNS786223 UDW786206:UDW786223 TUA786206:TUA786223 TKE786206:TKE786223 TAI786206:TAI786223 SQM786206:SQM786223 SGQ786206:SGQ786223 RWU786206:RWU786223 RMY786206:RMY786223 RDC786206:RDC786223 QTG786206:QTG786223 QJK786206:QJK786223 PZO786206:PZO786223 PPS786206:PPS786223 PFW786206:PFW786223 OWA786206:OWA786223 OME786206:OME786223 OCI786206:OCI786223 NSM786206:NSM786223 NIQ786206:NIQ786223 MYU786206:MYU786223 MOY786206:MOY786223 MFC786206:MFC786223 LVG786206:LVG786223 LLK786206:LLK786223 LBO786206:LBO786223 KRS786206:KRS786223 KHW786206:KHW786223 JYA786206:JYA786223 JOE786206:JOE786223 JEI786206:JEI786223 IUM786206:IUM786223 IKQ786206:IKQ786223 IAU786206:IAU786223 HQY786206:HQY786223 HHC786206:HHC786223 GXG786206:GXG786223 GNK786206:GNK786223 GDO786206:GDO786223 FTS786206:FTS786223 FJW786206:FJW786223 FAA786206:FAA786223 EQE786206:EQE786223 EGI786206:EGI786223 DWM786206:DWM786223 DMQ786206:DMQ786223 DCU786206:DCU786223 CSY786206:CSY786223 CJC786206:CJC786223 BZG786206:BZG786223 BPK786206:BPK786223 BFO786206:BFO786223 AVS786206:AVS786223 ALW786206:ALW786223 ACA786206:ACA786223 SE786206:SE786223 II786206:II786223 WUU720670:WUU720687 WKY720670:WKY720687 WBC720670:WBC720687 VRG720670:VRG720687 VHK720670:VHK720687 UXO720670:UXO720687 UNS720670:UNS720687 UDW720670:UDW720687 TUA720670:TUA720687 TKE720670:TKE720687 TAI720670:TAI720687 SQM720670:SQM720687 SGQ720670:SGQ720687 RWU720670:RWU720687 RMY720670:RMY720687 RDC720670:RDC720687 QTG720670:QTG720687 QJK720670:QJK720687 PZO720670:PZO720687 PPS720670:PPS720687 PFW720670:PFW720687 OWA720670:OWA720687 OME720670:OME720687 OCI720670:OCI720687 NSM720670:NSM720687 NIQ720670:NIQ720687 MYU720670:MYU720687 MOY720670:MOY720687 MFC720670:MFC720687 LVG720670:LVG720687 LLK720670:LLK720687 LBO720670:LBO720687 KRS720670:KRS720687 KHW720670:KHW720687 JYA720670:JYA720687 JOE720670:JOE720687 JEI720670:JEI720687 IUM720670:IUM720687 IKQ720670:IKQ720687 IAU720670:IAU720687 HQY720670:HQY720687 HHC720670:HHC720687 GXG720670:GXG720687 GNK720670:GNK720687 GDO720670:GDO720687 FTS720670:FTS720687 FJW720670:FJW720687 FAA720670:FAA720687 EQE720670:EQE720687 EGI720670:EGI720687 DWM720670:DWM720687 DMQ720670:DMQ720687 DCU720670:DCU720687 CSY720670:CSY720687 CJC720670:CJC720687 BZG720670:BZG720687 BPK720670:BPK720687 BFO720670:BFO720687 AVS720670:AVS720687 ALW720670:ALW720687 ACA720670:ACA720687 SE720670:SE720687 II720670:II720687 WUU655134:WUU655151 WKY655134:WKY655151 WBC655134:WBC655151 VRG655134:VRG655151 VHK655134:VHK655151 UXO655134:UXO655151 UNS655134:UNS655151 UDW655134:UDW655151 TUA655134:TUA655151 TKE655134:TKE655151 TAI655134:TAI655151 SQM655134:SQM655151 SGQ655134:SGQ655151 RWU655134:RWU655151 RMY655134:RMY655151 RDC655134:RDC655151 QTG655134:QTG655151 QJK655134:QJK655151 PZO655134:PZO655151 PPS655134:PPS655151 PFW655134:PFW655151 OWA655134:OWA655151 OME655134:OME655151 OCI655134:OCI655151 NSM655134:NSM655151 NIQ655134:NIQ655151 MYU655134:MYU655151 MOY655134:MOY655151 MFC655134:MFC655151 LVG655134:LVG655151 LLK655134:LLK655151 LBO655134:LBO655151 KRS655134:KRS655151 KHW655134:KHW655151 JYA655134:JYA655151 JOE655134:JOE655151 JEI655134:JEI655151 IUM655134:IUM655151 IKQ655134:IKQ655151 IAU655134:IAU655151 HQY655134:HQY655151 HHC655134:HHC655151 GXG655134:GXG655151 GNK655134:GNK655151 GDO655134:GDO655151 FTS655134:FTS655151 FJW655134:FJW655151 FAA655134:FAA655151 EQE655134:EQE655151 EGI655134:EGI655151 DWM655134:DWM655151 DMQ655134:DMQ655151 DCU655134:DCU655151 CSY655134:CSY655151 CJC655134:CJC655151 BZG655134:BZG655151 BPK655134:BPK655151 BFO655134:BFO655151 AVS655134:AVS655151 ALW655134:ALW655151 ACA655134:ACA655151 SE655134:SE655151 II655134:II655151 WUU589598:WUU589615 WKY589598:WKY589615 WBC589598:WBC589615 VRG589598:VRG589615 VHK589598:VHK589615 UXO589598:UXO589615 UNS589598:UNS589615 UDW589598:UDW589615 TUA589598:TUA589615 TKE589598:TKE589615 TAI589598:TAI589615 SQM589598:SQM589615 SGQ589598:SGQ589615 RWU589598:RWU589615 RMY589598:RMY589615 RDC589598:RDC589615 QTG589598:QTG589615 QJK589598:QJK589615 PZO589598:PZO589615 PPS589598:PPS589615 PFW589598:PFW589615 OWA589598:OWA589615 OME589598:OME589615 OCI589598:OCI589615 NSM589598:NSM589615 NIQ589598:NIQ589615 MYU589598:MYU589615 MOY589598:MOY589615 MFC589598:MFC589615 LVG589598:LVG589615 LLK589598:LLK589615 LBO589598:LBO589615 KRS589598:KRS589615 KHW589598:KHW589615 JYA589598:JYA589615 JOE589598:JOE589615 JEI589598:JEI589615 IUM589598:IUM589615 IKQ589598:IKQ589615 IAU589598:IAU589615 HQY589598:HQY589615 HHC589598:HHC589615 GXG589598:GXG589615 GNK589598:GNK589615 GDO589598:GDO589615 FTS589598:FTS589615 FJW589598:FJW589615 FAA589598:FAA589615 EQE589598:EQE589615 EGI589598:EGI589615 DWM589598:DWM589615 DMQ589598:DMQ589615 DCU589598:DCU589615 CSY589598:CSY589615 CJC589598:CJC589615 BZG589598:BZG589615 BPK589598:BPK589615 BFO589598:BFO589615 AVS589598:AVS589615 ALW589598:ALW589615 ACA589598:ACA589615 SE589598:SE589615 II589598:II589615 WUU524062:WUU524079 WKY524062:WKY524079 WBC524062:WBC524079 VRG524062:VRG524079 VHK524062:VHK524079 UXO524062:UXO524079 UNS524062:UNS524079 UDW524062:UDW524079 TUA524062:TUA524079 TKE524062:TKE524079 TAI524062:TAI524079 SQM524062:SQM524079 SGQ524062:SGQ524079 RWU524062:RWU524079 RMY524062:RMY524079 RDC524062:RDC524079 QTG524062:QTG524079 QJK524062:QJK524079 PZO524062:PZO524079 PPS524062:PPS524079 PFW524062:PFW524079 OWA524062:OWA524079 OME524062:OME524079 OCI524062:OCI524079 NSM524062:NSM524079 NIQ524062:NIQ524079 MYU524062:MYU524079 MOY524062:MOY524079 MFC524062:MFC524079 LVG524062:LVG524079 LLK524062:LLK524079 LBO524062:LBO524079 KRS524062:KRS524079 KHW524062:KHW524079 JYA524062:JYA524079 JOE524062:JOE524079 JEI524062:JEI524079 IUM524062:IUM524079 IKQ524062:IKQ524079 IAU524062:IAU524079 HQY524062:HQY524079 HHC524062:HHC524079 GXG524062:GXG524079 GNK524062:GNK524079 GDO524062:GDO524079 FTS524062:FTS524079 FJW524062:FJW524079 FAA524062:FAA524079 EQE524062:EQE524079 EGI524062:EGI524079 DWM524062:DWM524079 DMQ524062:DMQ524079 DCU524062:DCU524079 CSY524062:CSY524079 CJC524062:CJC524079 BZG524062:BZG524079 BPK524062:BPK524079 BFO524062:BFO524079 AVS524062:AVS524079 ALW524062:ALW524079 ACA524062:ACA524079 SE524062:SE524079 II524062:II524079 WUU458526:WUU458543 WKY458526:WKY458543 WBC458526:WBC458543 VRG458526:VRG458543 VHK458526:VHK458543 UXO458526:UXO458543 UNS458526:UNS458543 UDW458526:UDW458543 TUA458526:TUA458543 TKE458526:TKE458543 TAI458526:TAI458543 SQM458526:SQM458543 SGQ458526:SGQ458543 RWU458526:RWU458543 RMY458526:RMY458543 RDC458526:RDC458543 QTG458526:QTG458543 QJK458526:QJK458543 PZO458526:PZO458543 PPS458526:PPS458543 PFW458526:PFW458543 OWA458526:OWA458543 OME458526:OME458543 OCI458526:OCI458543 NSM458526:NSM458543 NIQ458526:NIQ458543 MYU458526:MYU458543 MOY458526:MOY458543 MFC458526:MFC458543 LVG458526:LVG458543 LLK458526:LLK458543 LBO458526:LBO458543 KRS458526:KRS458543 KHW458526:KHW458543 JYA458526:JYA458543 JOE458526:JOE458543 JEI458526:JEI458543 IUM458526:IUM458543 IKQ458526:IKQ458543 IAU458526:IAU458543 HQY458526:HQY458543 HHC458526:HHC458543 GXG458526:GXG458543 GNK458526:GNK458543 GDO458526:GDO458543 FTS458526:FTS458543 FJW458526:FJW458543 FAA458526:FAA458543 EQE458526:EQE458543 EGI458526:EGI458543 DWM458526:DWM458543 DMQ458526:DMQ458543 DCU458526:DCU458543 CSY458526:CSY458543 CJC458526:CJC458543 BZG458526:BZG458543 BPK458526:BPK458543 BFO458526:BFO458543 AVS458526:AVS458543 ALW458526:ALW458543 ACA458526:ACA458543 SE458526:SE458543 II458526:II458543 WUU392990:WUU393007 WKY392990:WKY393007 WBC392990:WBC393007 VRG392990:VRG393007 VHK392990:VHK393007 UXO392990:UXO393007 UNS392990:UNS393007 UDW392990:UDW393007 TUA392990:TUA393007 TKE392990:TKE393007 TAI392990:TAI393007 SQM392990:SQM393007 SGQ392990:SGQ393007 RWU392990:RWU393007 RMY392990:RMY393007 RDC392990:RDC393007 QTG392990:QTG393007 QJK392990:QJK393007 PZO392990:PZO393007 PPS392990:PPS393007 PFW392990:PFW393007 OWA392990:OWA393007 OME392990:OME393007 OCI392990:OCI393007 NSM392990:NSM393007 NIQ392990:NIQ393007 MYU392990:MYU393007 MOY392990:MOY393007 MFC392990:MFC393007 LVG392990:LVG393007 LLK392990:LLK393007 LBO392990:LBO393007 KRS392990:KRS393007 KHW392990:KHW393007 JYA392990:JYA393007 JOE392990:JOE393007 JEI392990:JEI393007 IUM392990:IUM393007 IKQ392990:IKQ393007 IAU392990:IAU393007 HQY392990:HQY393007 HHC392990:HHC393007 GXG392990:GXG393007 GNK392990:GNK393007 GDO392990:GDO393007 FTS392990:FTS393007 FJW392990:FJW393007 FAA392990:FAA393007 EQE392990:EQE393007 EGI392990:EGI393007 DWM392990:DWM393007 DMQ392990:DMQ393007 DCU392990:DCU393007 CSY392990:CSY393007 CJC392990:CJC393007 BZG392990:BZG393007 BPK392990:BPK393007 BFO392990:BFO393007 AVS392990:AVS393007 ALW392990:ALW393007 ACA392990:ACA393007 SE392990:SE393007 II392990:II393007 WUU327454:WUU327471 WKY327454:WKY327471 WBC327454:WBC327471 VRG327454:VRG327471 VHK327454:VHK327471 UXO327454:UXO327471 UNS327454:UNS327471 UDW327454:UDW327471 TUA327454:TUA327471 TKE327454:TKE327471 TAI327454:TAI327471 SQM327454:SQM327471 SGQ327454:SGQ327471 RWU327454:RWU327471 RMY327454:RMY327471 RDC327454:RDC327471 QTG327454:QTG327471 QJK327454:QJK327471 PZO327454:PZO327471 PPS327454:PPS327471 PFW327454:PFW327471 OWA327454:OWA327471 OME327454:OME327471 OCI327454:OCI327471 NSM327454:NSM327471 NIQ327454:NIQ327471 MYU327454:MYU327471 MOY327454:MOY327471 MFC327454:MFC327471 LVG327454:LVG327471 LLK327454:LLK327471 LBO327454:LBO327471 KRS327454:KRS327471 KHW327454:KHW327471 JYA327454:JYA327471 JOE327454:JOE327471 JEI327454:JEI327471 IUM327454:IUM327471 IKQ327454:IKQ327471 IAU327454:IAU327471 HQY327454:HQY327471 HHC327454:HHC327471 GXG327454:GXG327471 GNK327454:GNK327471 GDO327454:GDO327471 FTS327454:FTS327471 FJW327454:FJW327471 FAA327454:FAA327471 EQE327454:EQE327471 EGI327454:EGI327471 DWM327454:DWM327471 DMQ327454:DMQ327471 DCU327454:DCU327471 CSY327454:CSY327471 CJC327454:CJC327471 BZG327454:BZG327471 BPK327454:BPK327471 BFO327454:BFO327471 AVS327454:AVS327471 ALW327454:ALW327471 ACA327454:ACA327471 SE327454:SE327471 II327454:II327471 WUU261918:WUU261935 WKY261918:WKY261935 WBC261918:WBC261935 VRG261918:VRG261935 VHK261918:VHK261935 UXO261918:UXO261935 UNS261918:UNS261935 UDW261918:UDW261935 TUA261918:TUA261935 TKE261918:TKE261935 TAI261918:TAI261935 SQM261918:SQM261935 SGQ261918:SGQ261935 RWU261918:RWU261935 RMY261918:RMY261935 RDC261918:RDC261935 QTG261918:QTG261935 QJK261918:QJK261935 PZO261918:PZO261935 PPS261918:PPS261935 PFW261918:PFW261935 OWA261918:OWA261935 OME261918:OME261935 OCI261918:OCI261935 NSM261918:NSM261935 NIQ261918:NIQ261935 MYU261918:MYU261935 MOY261918:MOY261935 MFC261918:MFC261935 LVG261918:LVG261935 LLK261918:LLK261935 LBO261918:LBO261935 KRS261918:KRS261935 KHW261918:KHW261935 JYA261918:JYA261935 JOE261918:JOE261935 JEI261918:JEI261935 IUM261918:IUM261935 IKQ261918:IKQ261935 IAU261918:IAU261935 HQY261918:HQY261935 HHC261918:HHC261935 GXG261918:GXG261935 GNK261918:GNK261935 GDO261918:GDO261935 FTS261918:FTS261935 FJW261918:FJW261935 FAA261918:FAA261935 EQE261918:EQE261935 EGI261918:EGI261935 DWM261918:DWM261935 DMQ261918:DMQ261935 DCU261918:DCU261935 CSY261918:CSY261935 CJC261918:CJC261935 BZG261918:BZG261935 BPK261918:BPK261935 BFO261918:BFO261935 AVS261918:AVS261935 ALW261918:ALW261935 ACA261918:ACA261935 SE261918:SE261935 II261918:II261935 WUU196382:WUU196399 WKY196382:WKY196399 WBC196382:WBC196399 VRG196382:VRG196399 VHK196382:VHK196399 UXO196382:UXO196399 UNS196382:UNS196399 UDW196382:UDW196399 TUA196382:TUA196399 TKE196382:TKE196399 TAI196382:TAI196399 SQM196382:SQM196399 SGQ196382:SGQ196399 RWU196382:RWU196399 RMY196382:RMY196399 RDC196382:RDC196399 QTG196382:QTG196399 QJK196382:QJK196399 PZO196382:PZO196399 PPS196382:PPS196399 PFW196382:PFW196399 OWA196382:OWA196399 OME196382:OME196399 OCI196382:OCI196399 NSM196382:NSM196399 NIQ196382:NIQ196399 MYU196382:MYU196399 MOY196382:MOY196399 MFC196382:MFC196399 LVG196382:LVG196399 LLK196382:LLK196399 LBO196382:LBO196399 KRS196382:KRS196399 KHW196382:KHW196399 JYA196382:JYA196399 JOE196382:JOE196399 JEI196382:JEI196399 IUM196382:IUM196399 IKQ196382:IKQ196399 IAU196382:IAU196399 HQY196382:HQY196399 HHC196382:HHC196399 GXG196382:GXG196399 GNK196382:GNK196399 GDO196382:GDO196399 FTS196382:FTS196399 FJW196382:FJW196399 FAA196382:FAA196399 EQE196382:EQE196399 EGI196382:EGI196399 DWM196382:DWM196399 DMQ196382:DMQ196399 DCU196382:DCU196399 CSY196382:CSY196399 CJC196382:CJC196399 BZG196382:BZG196399 BPK196382:BPK196399 BFO196382:BFO196399 AVS196382:AVS196399 ALW196382:ALW196399 ACA196382:ACA196399 SE196382:SE196399 II196382:II196399 WUU130846:WUU130863 WKY130846:WKY130863 WBC130846:WBC130863 VRG130846:VRG130863 VHK130846:VHK130863 UXO130846:UXO130863 UNS130846:UNS130863 UDW130846:UDW130863 TUA130846:TUA130863 TKE130846:TKE130863 TAI130846:TAI130863 SQM130846:SQM130863 SGQ130846:SGQ130863 RWU130846:RWU130863 RMY130846:RMY130863 RDC130846:RDC130863 QTG130846:QTG130863 QJK130846:QJK130863 PZO130846:PZO130863 PPS130846:PPS130863 PFW130846:PFW130863 OWA130846:OWA130863 OME130846:OME130863 OCI130846:OCI130863 NSM130846:NSM130863 NIQ130846:NIQ130863 MYU130846:MYU130863 MOY130846:MOY130863 MFC130846:MFC130863 LVG130846:LVG130863 LLK130846:LLK130863 LBO130846:LBO130863 KRS130846:KRS130863 KHW130846:KHW130863 JYA130846:JYA130863 JOE130846:JOE130863 JEI130846:JEI130863 IUM130846:IUM130863 IKQ130846:IKQ130863 IAU130846:IAU130863 HQY130846:HQY130863 HHC130846:HHC130863 GXG130846:GXG130863 GNK130846:GNK130863 GDO130846:GDO130863 FTS130846:FTS130863 FJW130846:FJW130863 FAA130846:FAA130863 EQE130846:EQE130863 EGI130846:EGI130863 DWM130846:DWM130863 DMQ130846:DMQ130863 DCU130846:DCU130863 CSY130846:CSY130863 CJC130846:CJC130863 BZG130846:BZG130863 BPK130846:BPK130863 BFO130846:BFO130863 AVS130846:AVS130863 ALW130846:ALW130863 ACA130846:ACA130863 SE130846:SE130863 II130846:II130863 WUU65310:WUU65327 WKY65310:WKY65327 WBC65310:WBC65327 VRG65310:VRG65327 VHK65310:VHK65327 UXO65310:UXO65327 UNS65310:UNS65327 UDW65310:UDW65327 TUA65310:TUA65327 TKE65310:TKE65327 TAI65310:TAI65327 SQM65310:SQM65327 SGQ65310:SGQ65327 RWU65310:RWU65327 RMY65310:RMY65327 RDC65310:RDC65327 QTG65310:QTG65327 QJK65310:QJK65327 PZO65310:PZO65327 PPS65310:PPS65327 PFW65310:PFW65327 OWA65310:OWA65327 OME65310:OME65327 OCI65310:OCI65327 NSM65310:NSM65327 NIQ65310:NIQ65327 MYU65310:MYU65327 MOY65310:MOY65327 MFC65310:MFC65327 LVG65310:LVG65327 LLK65310:LLK65327 LBO65310:LBO65327 KRS65310:KRS65327 KHW65310:KHW65327 JYA65310:JYA65327 JOE65310:JOE65327 JEI65310:JEI65327 IUM65310:IUM65327 IKQ65310:IKQ65327 IAU65310:IAU65327 HQY65310:HQY65327 HHC65310:HHC65327 GXG65310:GXG65327 GNK65310:GNK65327 GDO65310:GDO65327 FTS65310:FTS65327 FJW65310:FJW65327 FAA65310:FAA65327 EQE65310:EQE65327 EGI65310:EGI65327 DWM65310:DWM65327 DMQ65310:DMQ65327 DCU65310:DCU65327 CSY65310:CSY65327 CJC65310:CJC65327 BZG65310:BZG65327 BPK65310:BPK65327 BFO65310:BFO65327 AVS65310:AVS65327 ALW65310:ALW65327 ACA65310:ACA65327 SE65310:SE65327 II65310:II65327 WUU982814:WUU982831 WBC982814:WBC982831 WKY982814:WKY982831 VRG982814:VRG982831 V130848:V130865 V196384:V196401 V261920:V261937 V327456:V327473 V392992:V393009 V458528:V458545 V524064:V524081 V589600:V589617 V655136:V655153 V720672:V720689 V786208:V786225 V851744:V851761 V917280:V917297 V982816:V982833" xr:uid="{00000000-0002-0000-0200-000001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 - 100000" sqref="V982793:V982807 WKY45:WKY63 WBC45:WBC63 VRG45:VRG63 VHK45:VHK63 UXO45:UXO63 UNS45:UNS63 UDW45:UDW63 TUA45:TUA63 TKE45:TKE63 TAI45:TAI63 SQM45:SQM63 SGQ45:SGQ63 RWU45:RWU63 RMY45:RMY63 RDC45:RDC63 QTG45:QTG63 QJK45:QJK63 PZO45:PZO63 PPS45:PPS63 PFW45:PFW63 OWA45:OWA63 OME45:OME63 OCI45:OCI63 NSM45:NSM63 NIQ45:NIQ63 MYU45:MYU63 MOY45:MOY63 MFC45:MFC63 LVG45:LVG63 LLK45:LLK63 LBO45:LBO63 KRS45:KRS63 KHW45:KHW63 JYA45:JYA63 JOE45:JOE63 JEI45:JEI63 IUM45:IUM63 IKQ45:IKQ63 IAU45:IAU63 HQY45:HQY63 HHC45:HHC63 GXG45:GXG63 GNK45:GNK63 GDO45:GDO63 FTS45:FTS63 FJW45:FJW63 FAA45:FAA63 EQE45:EQE63 EGI45:EGI63 DWM45:DWM63 DMQ45:DMQ63 DCU45:DCU63 CSY45:CSY63 CJC45:CJC63 BZG45:BZG63 BPK45:BPK63 BFO45:BFO63 AVS45:AVS63 ALW45:ALW63 ACA45:ACA63 SE45:SE63 WUU45:WUU63 II45:II63 VHK982791:VHK982805 UXO982791:UXO982805 UNS982791:UNS982805 UDW982791:UDW982805 TUA982791:TUA982805 TKE982791:TKE982805 TAI982791:TAI982805 SQM982791:SQM982805 SGQ982791:SGQ982805 RWU982791:RWU982805 RMY982791:RMY982805 RDC982791:RDC982805 QTG982791:QTG982805 QJK982791:QJK982805 PZO982791:PZO982805 PPS982791:PPS982805 PFW982791:PFW982805 OWA982791:OWA982805 OME982791:OME982805 OCI982791:OCI982805 NSM982791:NSM982805 NIQ982791:NIQ982805 MYU982791:MYU982805 MOY982791:MOY982805 MFC982791:MFC982805 LVG982791:LVG982805 LLK982791:LLK982805 LBO982791:LBO982805 KRS982791:KRS982805 KHW982791:KHW982805 JYA982791:JYA982805 JOE982791:JOE982805 JEI982791:JEI982805 IUM982791:IUM982805 IKQ982791:IKQ982805 IAU982791:IAU982805 HQY982791:HQY982805 HHC982791:HHC982805 GXG982791:GXG982805 GNK982791:GNK982805 GDO982791:GDO982805 FTS982791:FTS982805 FJW982791:FJW982805 FAA982791:FAA982805 EQE982791:EQE982805 EGI982791:EGI982805 DWM982791:DWM982805 DMQ982791:DMQ982805 DCU982791:DCU982805 CSY982791:CSY982805 CJC982791:CJC982805 BZG982791:BZG982805 BPK982791:BPK982805 BFO982791:BFO982805 AVS982791:AVS982805 ALW982791:ALW982805 ACA982791:ACA982805 SE982791:SE982805 II982791:II982805 WUU917255:WUU917269 WKY917255:WKY917269 WBC917255:WBC917269 VRG917255:VRG917269 VHK917255:VHK917269 UXO917255:UXO917269 UNS917255:UNS917269 UDW917255:UDW917269 TUA917255:TUA917269 TKE917255:TKE917269 TAI917255:TAI917269 SQM917255:SQM917269 SGQ917255:SGQ917269 RWU917255:RWU917269 RMY917255:RMY917269 RDC917255:RDC917269 QTG917255:QTG917269 QJK917255:QJK917269 PZO917255:PZO917269 PPS917255:PPS917269 PFW917255:PFW917269 OWA917255:OWA917269 OME917255:OME917269 OCI917255:OCI917269 NSM917255:NSM917269 NIQ917255:NIQ917269 MYU917255:MYU917269 MOY917255:MOY917269 MFC917255:MFC917269 LVG917255:LVG917269 LLK917255:LLK917269 LBO917255:LBO917269 KRS917255:KRS917269 KHW917255:KHW917269 JYA917255:JYA917269 JOE917255:JOE917269 JEI917255:JEI917269 IUM917255:IUM917269 IKQ917255:IKQ917269 IAU917255:IAU917269 HQY917255:HQY917269 HHC917255:HHC917269 GXG917255:GXG917269 GNK917255:GNK917269 GDO917255:GDO917269 FTS917255:FTS917269 FJW917255:FJW917269 FAA917255:FAA917269 EQE917255:EQE917269 EGI917255:EGI917269 DWM917255:DWM917269 DMQ917255:DMQ917269 DCU917255:DCU917269 CSY917255:CSY917269 CJC917255:CJC917269 BZG917255:BZG917269 BPK917255:BPK917269 BFO917255:BFO917269 AVS917255:AVS917269 ALW917255:ALW917269 ACA917255:ACA917269 SE917255:SE917269 II917255:II917269 WUU851719:WUU851733 WKY851719:WKY851733 WBC851719:WBC851733 VRG851719:VRG851733 VHK851719:VHK851733 UXO851719:UXO851733 UNS851719:UNS851733 UDW851719:UDW851733 TUA851719:TUA851733 TKE851719:TKE851733 TAI851719:TAI851733 SQM851719:SQM851733 SGQ851719:SGQ851733 RWU851719:RWU851733 RMY851719:RMY851733 RDC851719:RDC851733 QTG851719:QTG851733 QJK851719:QJK851733 PZO851719:PZO851733 PPS851719:PPS851733 PFW851719:PFW851733 OWA851719:OWA851733 OME851719:OME851733 OCI851719:OCI851733 NSM851719:NSM851733 NIQ851719:NIQ851733 MYU851719:MYU851733 MOY851719:MOY851733 MFC851719:MFC851733 LVG851719:LVG851733 LLK851719:LLK851733 LBO851719:LBO851733 KRS851719:KRS851733 KHW851719:KHW851733 JYA851719:JYA851733 JOE851719:JOE851733 JEI851719:JEI851733 IUM851719:IUM851733 IKQ851719:IKQ851733 IAU851719:IAU851733 HQY851719:HQY851733 HHC851719:HHC851733 GXG851719:GXG851733 GNK851719:GNK851733 GDO851719:GDO851733 FTS851719:FTS851733 FJW851719:FJW851733 FAA851719:FAA851733 EQE851719:EQE851733 EGI851719:EGI851733 DWM851719:DWM851733 DMQ851719:DMQ851733 DCU851719:DCU851733 CSY851719:CSY851733 CJC851719:CJC851733 BZG851719:BZG851733 BPK851719:BPK851733 BFO851719:BFO851733 AVS851719:AVS851733 ALW851719:ALW851733 ACA851719:ACA851733 SE851719:SE851733 II851719:II851733 WUU786183:WUU786197 WKY786183:WKY786197 WBC786183:WBC786197 VRG786183:VRG786197 VHK786183:VHK786197 UXO786183:UXO786197 UNS786183:UNS786197 UDW786183:UDW786197 TUA786183:TUA786197 TKE786183:TKE786197 TAI786183:TAI786197 SQM786183:SQM786197 SGQ786183:SGQ786197 RWU786183:RWU786197 RMY786183:RMY786197 RDC786183:RDC786197 QTG786183:QTG786197 QJK786183:QJK786197 PZO786183:PZO786197 PPS786183:PPS786197 PFW786183:PFW786197 OWA786183:OWA786197 OME786183:OME786197 OCI786183:OCI786197 NSM786183:NSM786197 NIQ786183:NIQ786197 MYU786183:MYU786197 MOY786183:MOY786197 MFC786183:MFC786197 LVG786183:LVG786197 LLK786183:LLK786197 LBO786183:LBO786197 KRS786183:KRS786197 KHW786183:KHW786197 JYA786183:JYA786197 JOE786183:JOE786197 JEI786183:JEI786197 IUM786183:IUM786197 IKQ786183:IKQ786197 IAU786183:IAU786197 HQY786183:HQY786197 HHC786183:HHC786197 GXG786183:GXG786197 GNK786183:GNK786197 GDO786183:GDO786197 FTS786183:FTS786197 FJW786183:FJW786197 FAA786183:FAA786197 EQE786183:EQE786197 EGI786183:EGI786197 DWM786183:DWM786197 DMQ786183:DMQ786197 DCU786183:DCU786197 CSY786183:CSY786197 CJC786183:CJC786197 BZG786183:BZG786197 BPK786183:BPK786197 BFO786183:BFO786197 AVS786183:AVS786197 ALW786183:ALW786197 ACA786183:ACA786197 SE786183:SE786197 II786183:II786197 WUU720647:WUU720661 WKY720647:WKY720661 WBC720647:WBC720661 VRG720647:VRG720661 VHK720647:VHK720661 UXO720647:UXO720661 UNS720647:UNS720661 UDW720647:UDW720661 TUA720647:TUA720661 TKE720647:TKE720661 TAI720647:TAI720661 SQM720647:SQM720661 SGQ720647:SGQ720661 RWU720647:RWU720661 RMY720647:RMY720661 RDC720647:RDC720661 QTG720647:QTG720661 QJK720647:QJK720661 PZO720647:PZO720661 PPS720647:PPS720661 PFW720647:PFW720661 OWA720647:OWA720661 OME720647:OME720661 OCI720647:OCI720661 NSM720647:NSM720661 NIQ720647:NIQ720661 MYU720647:MYU720661 MOY720647:MOY720661 MFC720647:MFC720661 LVG720647:LVG720661 LLK720647:LLK720661 LBO720647:LBO720661 KRS720647:KRS720661 KHW720647:KHW720661 JYA720647:JYA720661 JOE720647:JOE720661 JEI720647:JEI720661 IUM720647:IUM720661 IKQ720647:IKQ720661 IAU720647:IAU720661 HQY720647:HQY720661 HHC720647:HHC720661 GXG720647:GXG720661 GNK720647:GNK720661 GDO720647:GDO720661 FTS720647:FTS720661 FJW720647:FJW720661 FAA720647:FAA720661 EQE720647:EQE720661 EGI720647:EGI720661 DWM720647:DWM720661 DMQ720647:DMQ720661 DCU720647:DCU720661 CSY720647:CSY720661 CJC720647:CJC720661 BZG720647:BZG720661 BPK720647:BPK720661 BFO720647:BFO720661 AVS720647:AVS720661 ALW720647:ALW720661 ACA720647:ACA720661 SE720647:SE720661 II720647:II720661 WUU655111:WUU655125 WKY655111:WKY655125 WBC655111:WBC655125 VRG655111:VRG655125 VHK655111:VHK655125 UXO655111:UXO655125 UNS655111:UNS655125 UDW655111:UDW655125 TUA655111:TUA655125 TKE655111:TKE655125 TAI655111:TAI655125 SQM655111:SQM655125 SGQ655111:SGQ655125 RWU655111:RWU655125 RMY655111:RMY655125 RDC655111:RDC655125 QTG655111:QTG655125 QJK655111:QJK655125 PZO655111:PZO655125 PPS655111:PPS655125 PFW655111:PFW655125 OWA655111:OWA655125 OME655111:OME655125 OCI655111:OCI655125 NSM655111:NSM655125 NIQ655111:NIQ655125 MYU655111:MYU655125 MOY655111:MOY655125 MFC655111:MFC655125 LVG655111:LVG655125 LLK655111:LLK655125 LBO655111:LBO655125 KRS655111:KRS655125 KHW655111:KHW655125 JYA655111:JYA655125 JOE655111:JOE655125 JEI655111:JEI655125 IUM655111:IUM655125 IKQ655111:IKQ655125 IAU655111:IAU655125 HQY655111:HQY655125 HHC655111:HHC655125 GXG655111:GXG655125 GNK655111:GNK655125 GDO655111:GDO655125 FTS655111:FTS655125 FJW655111:FJW655125 FAA655111:FAA655125 EQE655111:EQE655125 EGI655111:EGI655125 DWM655111:DWM655125 DMQ655111:DMQ655125 DCU655111:DCU655125 CSY655111:CSY655125 CJC655111:CJC655125 BZG655111:BZG655125 BPK655111:BPK655125 BFO655111:BFO655125 AVS655111:AVS655125 ALW655111:ALW655125 ACA655111:ACA655125 SE655111:SE655125 II655111:II655125 WUU589575:WUU589589 WKY589575:WKY589589 WBC589575:WBC589589 VRG589575:VRG589589 VHK589575:VHK589589 UXO589575:UXO589589 UNS589575:UNS589589 UDW589575:UDW589589 TUA589575:TUA589589 TKE589575:TKE589589 TAI589575:TAI589589 SQM589575:SQM589589 SGQ589575:SGQ589589 RWU589575:RWU589589 RMY589575:RMY589589 RDC589575:RDC589589 QTG589575:QTG589589 QJK589575:QJK589589 PZO589575:PZO589589 PPS589575:PPS589589 PFW589575:PFW589589 OWA589575:OWA589589 OME589575:OME589589 OCI589575:OCI589589 NSM589575:NSM589589 NIQ589575:NIQ589589 MYU589575:MYU589589 MOY589575:MOY589589 MFC589575:MFC589589 LVG589575:LVG589589 LLK589575:LLK589589 LBO589575:LBO589589 KRS589575:KRS589589 KHW589575:KHW589589 JYA589575:JYA589589 JOE589575:JOE589589 JEI589575:JEI589589 IUM589575:IUM589589 IKQ589575:IKQ589589 IAU589575:IAU589589 HQY589575:HQY589589 HHC589575:HHC589589 GXG589575:GXG589589 GNK589575:GNK589589 GDO589575:GDO589589 FTS589575:FTS589589 FJW589575:FJW589589 FAA589575:FAA589589 EQE589575:EQE589589 EGI589575:EGI589589 DWM589575:DWM589589 DMQ589575:DMQ589589 DCU589575:DCU589589 CSY589575:CSY589589 CJC589575:CJC589589 BZG589575:BZG589589 BPK589575:BPK589589 BFO589575:BFO589589 AVS589575:AVS589589 ALW589575:ALW589589 ACA589575:ACA589589 SE589575:SE589589 II589575:II589589 WUU524039:WUU524053 WKY524039:WKY524053 WBC524039:WBC524053 VRG524039:VRG524053 VHK524039:VHK524053 UXO524039:UXO524053 UNS524039:UNS524053 UDW524039:UDW524053 TUA524039:TUA524053 TKE524039:TKE524053 TAI524039:TAI524053 SQM524039:SQM524053 SGQ524039:SGQ524053 RWU524039:RWU524053 RMY524039:RMY524053 RDC524039:RDC524053 QTG524039:QTG524053 QJK524039:QJK524053 PZO524039:PZO524053 PPS524039:PPS524053 PFW524039:PFW524053 OWA524039:OWA524053 OME524039:OME524053 OCI524039:OCI524053 NSM524039:NSM524053 NIQ524039:NIQ524053 MYU524039:MYU524053 MOY524039:MOY524053 MFC524039:MFC524053 LVG524039:LVG524053 LLK524039:LLK524053 LBO524039:LBO524053 KRS524039:KRS524053 KHW524039:KHW524053 JYA524039:JYA524053 JOE524039:JOE524053 JEI524039:JEI524053 IUM524039:IUM524053 IKQ524039:IKQ524053 IAU524039:IAU524053 HQY524039:HQY524053 HHC524039:HHC524053 GXG524039:GXG524053 GNK524039:GNK524053 GDO524039:GDO524053 FTS524039:FTS524053 FJW524039:FJW524053 FAA524039:FAA524053 EQE524039:EQE524053 EGI524039:EGI524053 DWM524039:DWM524053 DMQ524039:DMQ524053 DCU524039:DCU524053 CSY524039:CSY524053 CJC524039:CJC524053 BZG524039:BZG524053 BPK524039:BPK524053 BFO524039:BFO524053 AVS524039:AVS524053 ALW524039:ALW524053 ACA524039:ACA524053 SE524039:SE524053 II524039:II524053 WUU458503:WUU458517 WKY458503:WKY458517 WBC458503:WBC458517 VRG458503:VRG458517 VHK458503:VHK458517 UXO458503:UXO458517 UNS458503:UNS458517 UDW458503:UDW458517 TUA458503:TUA458517 TKE458503:TKE458517 TAI458503:TAI458517 SQM458503:SQM458517 SGQ458503:SGQ458517 RWU458503:RWU458517 RMY458503:RMY458517 RDC458503:RDC458517 QTG458503:QTG458517 QJK458503:QJK458517 PZO458503:PZO458517 PPS458503:PPS458517 PFW458503:PFW458517 OWA458503:OWA458517 OME458503:OME458517 OCI458503:OCI458517 NSM458503:NSM458517 NIQ458503:NIQ458517 MYU458503:MYU458517 MOY458503:MOY458517 MFC458503:MFC458517 LVG458503:LVG458517 LLK458503:LLK458517 LBO458503:LBO458517 KRS458503:KRS458517 KHW458503:KHW458517 JYA458503:JYA458517 JOE458503:JOE458517 JEI458503:JEI458517 IUM458503:IUM458517 IKQ458503:IKQ458517 IAU458503:IAU458517 HQY458503:HQY458517 HHC458503:HHC458517 GXG458503:GXG458517 GNK458503:GNK458517 GDO458503:GDO458517 FTS458503:FTS458517 FJW458503:FJW458517 FAA458503:FAA458517 EQE458503:EQE458517 EGI458503:EGI458517 DWM458503:DWM458517 DMQ458503:DMQ458517 DCU458503:DCU458517 CSY458503:CSY458517 CJC458503:CJC458517 BZG458503:BZG458517 BPK458503:BPK458517 BFO458503:BFO458517 AVS458503:AVS458517 ALW458503:ALW458517 ACA458503:ACA458517 SE458503:SE458517 II458503:II458517 WUU392967:WUU392981 WKY392967:WKY392981 WBC392967:WBC392981 VRG392967:VRG392981 VHK392967:VHK392981 UXO392967:UXO392981 UNS392967:UNS392981 UDW392967:UDW392981 TUA392967:TUA392981 TKE392967:TKE392981 TAI392967:TAI392981 SQM392967:SQM392981 SGQ392967:SGQ392981 RWU392967:RWU392981 RMY392967:RMY392981 RDC392967:RDC392981 QTG392967:QTG392981 QJK392967:QJK392981 PZO392967:PZO392981 PPS392967:PPS392981 PFW392967:PFW392981 OWA392967:OWA392981 OME392967:OME392981 OCI392967:OCI392981 NSM392967:NSM392981 NIQ392967:NIQ392981 MYU392967:MYU392981 MOY392967:MOY392981 MFC392967:MFC392981 LVG392967:LVG392981 LLK392967:LLK392981 LBO392967:LBO392981 KRS392967:KRS392981 KHW392967:KHW392981 JYA392967:JYA392981 JOE392967:JOE392981 JEI392967:JEI392981 IUM392967:IUM392981 IKQ392967:IKQ392981 IAU392967:IAU392981 HQY392967:HQY392981 HHC392967:HHC392981 GXG392967:GXG392981 GNK392967:GNK392981 GDO392967:GDO392981 FTS392967:FTS392981 FJW392967:FJW392981 FAA392967:FAA392981 EQE392967:EQE392981 EGI392967:EGI392981 DWM392967:DWM392981 DMQ392967:DMQ392981 DCU392967:DCU392981 CSY392967:CSY392981 CJC392967:CJC392981 BZG392967:BZG392981 BPK392967:BPK392981 BFO392967:BFO392981 AVS392967:AVS392981 ALW392967:ALW392981 ACA392967:ACA392981 SE392967:SE392981 II392967:II392981 WUU327431:WUU327445 WKY327431:WKY327445 WBC327431:WBC327445 VRG327431:VRG327445 VHK327431:VHK327445 UXO327431:UXO327445 UNS327431:UNS327445 UDW327431:UDW327445 TUA327431:TUA327445 TKE327431:TKE327445 TAI327431:TAI327445 SQM327431:SQM327445 SGQ327431:SGQ327445 RWU327431:RWU327445 RMY327431:RMY327445 RDC327431:RDC327445 QTG327431:QTG327445 QJK327431:QJK327445 PZO327431:PZO327445 PPS327431:PPS327445 PFW327431:PFW327445 OWA327431:OWA327445 OME327431:OME327445 OCI327431:OCI327445 NSM327431:NSM327445 NIQ327431:NIQ327445 MYU327431:MYU327445 MOY327431:MOY327445 MFC327431:MFC327445 LVG327431:LVG327445 LLK327431:LLK327445 LBO327431:LBO327445 KRS327431:KRS327445 KHW327431:KHW327445 JYA327431:JYA327445 JOE327431:JOE327445 JEI327431:JEI327445 IUM327431:IUM327445 IKQ327431:IKQ327445 IAU327431:IAU327445 HQY327431:HQY327445 HHC327431:HHC327445 GXG327431:GXG327445 GNK327431:GNK327445 GDO327431:GDO327445 FTS327431:FTS327445 FJW327431:FJW327445 FAA327431:FAA327445 EQE327431:EQE327445 EGI327431:EGI327445 DWM327431:DWM327445 DMQ327431:DMQ327445 DCU327431:DCU327445 CSY327431:CSY327445 CJC327431:CJC327445 BZG327431:BZG327445 BPK327431:BPK327445 BFO327431:BFO327445 AVS327431:AVS327445 ALW327431:ALW327445 ACA327431:ACA327445 SE327431:SE327445 II327431:II327445 WUU261895:WUU261909 WKY261895:WKY261909 WBC261895:WBC261909 VRG261895:VRG261909 VHK261895:VHK261909 UXO261895:UXO261909 UNS261895:UNS261909 UDW261895:UDW261909 TUA261895:TUA261909 TKE261895:TKE261909 TAI261895:TAI261909 SQM261895:SQM261909 SGQ261895:SGQ261909 RWU261895:RWU261909 RMY261895:RMY261909 RDC261895:RDC261909 QTG261895:QTG261909 QJK261895:QJK261909 PZO261895:PZO261909 PPS261895:PPS261909 PFW261895:PFW261909 OWA261895:OWA261909 OME261895:OME261909 OCI261895:OCI261909 NSM261895:NSM261909 NIQ261895:NIQ261909 MYU261895:MYU261909 MOY261895:MOY261909 MFC261895:MFC261909 LVG261895:LVG261909 LLK261895:LLK261909 LBO261895:LBO261909 KRS261895:KRS261909 KHW261895:KHW261909 JYA261895:JYA261909 JOE261895:JOE261909 JEI261895:JEI261909 IUM261895:IUM261909 IKQ261895:IKQ261909 IAU261895:IAU261909 HQY261895:HQY261909 HHC261895:HHC261909 GXG261895:GXG261909 GNK261895:GNK261909 GDO261895:GDO261909 FTS261895:FTS261909 FJW261895:FJW261909 FAA261895:FAA261909 EQE261895:EQE261909 EGI261895:EGI261909 DWM261895:DWM261909 DMQ261895:DMQ261909 DCU261895:DCU261909 CSY261895:CSY261909 CJC261895:CJC261909 BZG261895:BZG261909 BPK261895:BPK261909 BFO261895:BFO261909 AVS261895:AVS261909 ALW261895:ALW261909 ACA261895:ACA261909 SE261895:SE261909 II261895:II261909 WUU196359:WUU196373 WKY196359:WKY196373 WBC196359:WBC196373 VRG196359:VRG196373 VHK196359:VHK196373 UXO196359:UXO196373 UNS196359:UNS196373 UDW196359:UDW196373 TUA196359:TUA196373 TKE196359:TKE196373 TAI196359:TAI196373 SQM196359:SQM196373 SGQ196359:SGQ196373 RWU196359:RWU196373 RMY196359:RMY196373 RDC196359:RDC196373 QTG196359:QTG196373 QJK196359:QJK196373 PZO196359:PZO196373 PPS196359:PPS196373 PFW196359:PFW196373 OWA196359:OWA196373 OME196359:OME196373 OCI196359:OCI196373 NSM196359:NSM196373 NIQ196359:NIQ196373 MYU196359:MYU196373 MOY196359:MOY196373 MFC196359:MFC196373 LVG196359:LVG196373 LLK196359:LLK196373 LBO196359:LBO196373 KRS196359:KRS196373 KHW196359:KHW196373 JYA196359:JYA196373 JOE196359:JOE196373 JEI196359:JEI196373 IUM196359:IUM196373 IKQ196359:IKQ196373 IAU196359:IAU196373 HQY196359:HQY196373 HHC196359:HHC196373 GXG196359:GXG196373 GNK196359:GNK196373 GDO196359:GDO196373 FTS196359:FTS196373 FJW196359:FJW196373 FAA196359:FAA196373 EQE196359:EQE196373 EGI196359:EGI196373 DWM196359:DWM196373 DMQ196359:DMQ196373 DCU196359:DCU196373 CSY196359:CSY196373 CJC196359:CJC196373 BZG196359:BZG196373 BPK196359:BPK196373 BFO196359:BFO196373 AVS196359:AVS196373 ALW196359:ALW196373 ACA196359:ACA196373 SE196359:SE196373 II196359:II196373 WUU130823:WUU130837 WKY130823:WKY130837 WBC130823:WBC130837 VRG130823:VRG130837 VHK130823:VHK130837 UXO130823:UXO130837 UNS130823:UNS130837 UDW130823:UDW130837 TUA130823:TUA130837 TKE130823:TKE130837 TAI130823:TAI130837 SQM130823:SQM130837 SGQ130823:SGQ130837 RWU130823:RWU130837 RMY130823:RMY130837 RDC130823:RDC130837 QTG130823:QTG130837 QJK130823:QJK130837 PZO130823:PZO130837 PPS130823:PPS130837 PFW130823:PFW130837 OWA130823:OWA130837 OME130823:OME130837 OCI130823:OCI130837 NSM130823:NSM130837 NIQ130823:NIQ130837 MYU130823:MYU130837 MOY130823:MOY130837 MFC130823:MFC130837 LVG130823:LVG130837 LLK130823:LLK130837 LBO130823:LBO130837 KRS130823:KRS130837 KHW130823:KHW130837 JYA130823:JYA130837 JOE130823:JOE130837 JEI130823:JEI130837 IUM130823:IUM130837 IKQ130823:IKQ130837 IAU130823:IAU130837 HQY130823:HQY130837 HHC130823:HHC130837 GXG130823:GXG130837 GNK130823:GNK130837 GDO130823:GDO130837 FTS130823:FTS130837 FJW130823:FJW130837 FAA130823:FAA130837 EQE130823:EQE130837 EGI130823:EGI130837 DWM130823:DWM130837 DMQ130823:DMQ130837 DCU130823:DCU130837 CSY130823:CSY130837 CJC130823:CJC130837 BZG130823:BZG130837 BPK130823:BPK130837 BFO130823:BFO130837 AVS130823:AVS130837 ALW130823:ALW130837 ACA130823:ACA130837 SE130823:SE130837 II130823:II130837 WUU65287:WUU65301 WKY65287:WKY65301 WBC65287:WBC65301 VRG65287:VRG65301 VHK65287:VHK65301 UXO65287:UXO65301 UNS65287:UNS65301 UDW65287:UDW65301 TUA65287:TUA65301 TKE65287:TKE65301 TAI65287:TAI65301 SQM65287:SQM65301 SGQ65287:SGQ65301 RWU65287:RWU65301 RMY65287:RMY65301 RDC65287:RDC65301 QTG65287:QTG65301 QJK65287:QJK65301 PZO65287:PZO65301 PPS65287:PPS65301 PFW65287:PFW65301 OWA65287:OWA65301 OME65287:OME65301 OCI65287:OCI65301 NSM65287:NSM65301 NIQ65287:NIQ65301 MYU65287:MYU65301 MOY65287:MOY65301 MFC65287:MFC65301 LVG65287:LVG65301 LLK65287:LLK65301 LBO65287:LBO65301 KRS65287:KRS65301 KHW65287:KHW65301 JYA65287:JYA65301 JOE65287:JOE65301 JEI65287:JEI65301 IUM65287:IUM65301 IKQ65287:IKQ65301 IAU65287:IAU65301 HQY65287:HQY65301 HHC65287:HHC65301 GXG65287:GXG65301 GNK65287:GNK65301 GDO65287:GDO65301 FTS65287:FTS65301 FJW65287:FJW65301 FAA65287:FAA65301 EQE65287:EQE65301 EGI65287:EGI65301 DWM65287:DWM65301 DMQ65287:DMQ65301 DCU65287:DCU65301 CSY65287:CSY65301 CJC65287:CJC65301 BZG65287:BZG65301 BPK65287:BPK65301 BFO65287:BFO65301 AVS65287:AVS65301 ALW65287:ALW65301 ACA65287:ACA65301 SE65287:SE65301 II65287:II65301 WUU982791:WUU982805 WKY982791:WKY982805 WBC982791:WBC982805 VRG982791:VRG982805 V65289:V65303 V130825:V130839 V196361:V196375 V261897:V261911 V327433:V327447 V392969:V392983 V458505:V458519 V524041:V524055 V589577:V589591 V655113:V655127 V720649:V720663 V786185:V786199 V851721:V851735 V917257:V917271" xr:uid="{00000000-0002-0000-0200-000002000000}">
      <formula1>1</formula1>
      <formula2>100000</formula2>
    </dataValidation>
    <dataValidation type="whole" allowBlank="1" showInputMessage="1" showErrorMessage="1" errorTitle="WRONG ENTRY" error="INPUT WHOLE NUMBER ONLY.  CLICK RETRY TO INPUT VALID WHOLE NUMBER BETWEEN 1 TO 100000._x000a_THANKING YOU_x000a_VINAY SAWANT" promptTitle="NUMBER" prompt="INPUT WHOLE NUMBER BETWEEN 1 - 100000_x000a_" sqref="WKY982770:WKY982781 SK19:SK33 ACG19:ACG33 AMC19:AMC33 AVY19:AVY33 BFU19:BFU33 BPQ19:BPQ33 BZM19:BZM33 CJI19:CJI33 CTE19:CTE33 DDA19:DDA33 DMW19:DMW33 DWS19:DWS33 EGO19:EGO33 EQK19:EQK33 FAG19:FAG33 FKC19:FKC33 FTY19:FTY33 GDU19:GDU33 GNQ19:GNQ33 GXM19:GXM33 HHI19:HHI33 HRE19:HRE33 IBA19:IBA33 IKW19:IKW33 IUS19:IUS33 JEO19:JEO33 JOK19:JOK33 JYG19:JYG33 KIC19:KIC33 KRY19:KRY33 LBU19:LBU33 LLQ19:LLQ33 LVM19:LVM33 MFI19:MFI33 MPE19:MPE33 MZA19:MZA33 NIW19:NIW33 NSS19:NSS33 OCO19:OCO33 OMK19:OMK33 OWG19:OWG33 PGC19:PGC33 PPY19:PPY33 PZU19:PZU33 QJQ19:QJQ33 QTM19:QTM33 RDI19:RDI33 RNE19:RNE33 RXA19:RXA33 SGW19:SGW33 SQS19:SQS33 TAO19:TAO33 TKK19:TKK33 TUG19:TUG33 UEC19:UEC33 UNY19:UNY33 UXU19:UXU33 VHQ19:VHQ33 VRM19:VRM33 WBI19:WBI33 WLE19:WLE33 WVA19:WVA33 II19:II33 SE19:SE33 ACA19:ACA33 ALW19:ALW33 AVS19:AVS33 BFO19:BFO33 BPK19:BPK33 BZG19:BZG33 CJC19:CJC33 CSY19:CSY33 DCU19:DCU33 DMQ19:DMQ33 DWM19:DWM33 EGI19:EGI33 EQE19:EQE33 FAA19:FAA33 FJW19:FJW33 FTS19:FTS33 GDO19:GDO33 GNK19:GNK33 GXG19:GXG33 HHC19:HHC33 HQY19:HQY33 IAU19:IAU33 IKQ19:IKQ33 IUM19:IUM33 JEI19:JEI33 JOE19:JOE33 JYA19:JYA33 KHW19:KHW33 KRS19:KRS33 LBO19:LBO33 LLK19:LLK33 LVG19:LVG33 MFC19:MFC33 MOY19:MOY33 MYU19:MYU33 NIQ19:NIQ33 NSM19:NSM33 OCI19:OCI33 OME19:OME33 OWA19:OWA33 PFW19:PFW33 PPS19:PPS33 PZO19:PZO33 QJK19:QJK33 QTG19:QTG33 RDC19:RDC33 RMY19:RMY33 RWU19:RWU33 SGQ19:SGQ33 SQM19:SQM33 TAI19:TAI33 TKE19:TKE33 TUA19:TUA33 UDW19:UDW33 UNS19:UNS33 UXO19:UXO33 VHK19:VHK33 VRG19:VRG33 WBC19:WBC33 WKY19:WKY33 WUU19:WUU33 IO19:IO33 WBC982770:WBC982781 VRG982770:VRG982781 VHK982770:VHK982781 UXO982770:UXO982781 UNS982770:UNS982781 UDW982770:UDW982781 TUA982770:TUA982781 TKE982770:TKE982781 TAI982770:TAI982781 SQM982770:SQM982781 SGQ982770:SGQ982781 RWU982770:RWU982781 RMY982770:RMY982781 RDC982770:RDC982781 QTG982770:QTG982781 QJK982770:QJK982781 PZO982770:PZO982781 PPS982770:PPS982781 PFW982770:PFW982781 OWA982770:OWA982781 OME982770:OME982781 OCI982770:OCI982781 NSM982770:NSM982781 NIQ982770:NIQ982781 MYU982770:MYU982781 MOY982770:MOY982781 MFC982770:MFC982781 LVG982770:LVG982781 LLK982770:LLK982781 LBO982770:LBO982781 KRS982770:KRS982781 KHW982770:KHW982781 JYA982770:JYA982781 JOE982770:JOE982781 JEI982770:JEI982781 IUM982770:IUM982781 IKQ982770:IKQ982781 IAU982770:IAU982781 HQY982770:HQY982781 HHC982770:HHC982781 GXG982770:GXG982781 GNK982770:GNK982781 GDO982770:GDO982781 FTS982770:FTS982781 FJW982770:FJW982781 FAA982770:FAA982781 EQE982770:EQE982781 EGI982770:EGI982781 DWM982770:DWM982781 DMQ982770:DMQ982781 DCU982770:DCU982781 CSY982770:CSY982781 CJC982770:CJC982781 BZG982770:BZG982781 BPK982770:BPK982781 BFO982770:BFO982781 AVS982770:AVS982781 ALW982770:ALW982781 ACA982770:ACA982781 SE982770:SE982781 II982770:II982781 WUU917234:WUU917245 WKY917234:WKY917245 WBC917234:WBC917245 VRG917234:VRG917245 VHK917234:VHK917245 UXO917234:UXO917245 UNS917234:UNS917245 UDW917234:UDW917245 TUA917234:TUA917245 TKE917234:TKE917245 TAI917234:TAI917245 SQM917234:SQM917245 SGQ917234:SGQ917245 RWU917234:RWU917245 RMY917234:RMY917245 RDC917234:RDC917245 QTG917234:QTG917245 QJK917234:QJK917245 PZO917234:PZO917245 PPS917234:PPS917245 PFW917234:PFW917245 OWA917234:OWA917245 OME917234:OME917245 OCI917234:OCI917245 NSM917234:NSM917245 NIQ917234:NIQ917245 MYU917234:MYU917245 MOY917234:MOY917245 MFC917234:MFC917245 LVG917234:LVG917245 LLK917234:LLK917245 LBO917234:LBO917245 KRS917234:KRS917245 KHW917234:KHW917245 JYA917234:JYA917245 JOE917234:JOE917245 JEI917234:JEI917245 IUM917234:IUM917245 IKQ917234:IKQ917245 IAU917234:IAU917245 HQY917234:HQY917245 HHC917234:HHC917245 GXG917234:GXG917245 GNK917234:GNK917245 GDO917234:GDO917245 FTS917234:FTS917245 FJW917234:FJW917245 FAA917234:FAA917245 EQE917234:EQE917245 EGI917234:EGI917245 DWM917234:DWM917245 DMQ917234:DMQ917245 DCU917234:DCU917245 CSY917234:CSY917245 CJC917234:CJC917245 BZG917234:BZG917245 BPK917234:BPK917245 BFO917234:BFO917245 AVS917234:AVS917245 ALW917234:ALW917245 ACA917234:ACA917245 SE917234:SE917245 II917234:II917245 WUU851698:WUU851709 WKY851698:WKY851709 WBC851698:WBC851709 VRG851698:VRG851709 VHK851698:VHK851709 UXO851698:UXO851709 UNS851698:UNS851709 UDW851698:UDW851709 TUA851698:TUA851709 TKE851698:TKE851709 TAI851698:TAI851709 SQM851698:SQM851709 SGQ851698:SGQ851709 RWU851698:RWU851709 RMY851698:RMY851709 RDC851698:RDC851709 QTG851698:QTG851709 QJK851698:QJK851709 PZO851698:PZO851709 PPS851698:PPS851709 PFW851698:PFW851709 OWA851698:OWA851709 OME851698:OME851709 OCI851698:OCI851709 NSM851698:NSM851709 NIQ851698:NIQ851709 MYU851698:MYU851709 MOY851698:MOY851709 MFC851698:MFC851709 LVG851698:LVG851709 LLK851698:LLK851709 LBO851698:LBO851709 KRS851698:KRS851709 KHW851698:KHW851709 JYA851698:JYA851709 JOE851698:JOE851709 JEI851698:JEI851709 IUM851698:IUM851709 IKQ851698:IKQ851709 IAU851698:IAU851709 HQY851698:HQY851709 HHC851698:HHC851709 GXG851698:GXG851709 GNK851698:GNK851709 GDO851698:GDO851709 FTS851698:FTS851709 FJW851698:FJW851709 FAA851698:FAA851709 EQE851698:EQE851709 EGI851698:EGI851709 DWM851698:DWM851709 DMQ851698:DMQ851709 DCU851698:DCU851709 CSY851698:CSY851709 CJC851698:CJC851709 BZG851698:BZG851709 BPK851698:BPK851709 BFO851698:BFO851709 AVS851698:AVS851709 ALW851698:ALW851709 ACA851698:ACA851709 SE851698:SE851709 II851698:II851709 WUU786162:WUU786173 WKY786162:WKY786173 WBC786162:WBC786173 VRG786162:VRG786173 VHK786162:VHK786173 UXO786162:UXO786173 UNS786162:UNS786173 UDW786162:UDW786173 TUA786162:TUA786173 TKE786162:TKE786173 TAI786162:TAI786173 SQM786162:SQM786173 SGQ786162:SGQ786173 RWU786162:RWU786173 RMY786162:RMY786173 RDC786162:RDC786173 QTG786162:QTG786173 QJK786162:QJK786173 PZO786162:PZO786173 PPS786162:PPS786173 PFW786162:PFW786173 OWA786162:OWA786173 OME786162:OME786173 OCI786162:OCI786173 NSM786162:NSM786173 NIQ786162:NIQ786173 MYU786162:MYU786173 MOY786162:MOY786173 MFC786162:MFC786173 LVG786162:LVG786173 LLK786162:LLK786173 LBO786162:LBO786173 KRS786162:KRS786173 KHW786162:KHW786173 JYA786162:JYA786173 JOE786162:JOE786173 JEI786162:JEI786173 IUM786162:IUM786173 IKQ786162:IKQ786173 IAU786162:IAU786173 HQY786162:HQY786173 HHC786162:HHC786173 GXG786162:GXG786173 GNK786162:GNK786173 GDO786162:GDO786173 FTS786162:FTS786173 FJW786162:FJW786173 FAA786162:FAA786173 EQE786162:EQE786173 EGI786162:EGI786173 DWM786162:DWM786173 DMQ786162:DMQ786173 DCU786162:DCU786173 CSY786162:CSY786173 CJC786162:CJC786173 BZG786162:BZG786173 BPK786162:BPK786173 BFO786162:BFO786173 AVS786162:AVS786173 ALW786162:ALW786173 ACA786162:ACA786173 SE786162:SE786173 II786162:II786173 WUU720626:WUU720637 WKY720626:WKY720637 WBC720626:WBC720637 VRG720626:VRG720637 VHK720626:VHK720637 UXO720626:UXO720637 UNS720626:UNS720637 UDW720626:UDW720637 TUA720626:TUA720637 TKE720626:TKE720637 TAI720626:TAI720637 SQM720626:SQM720637 SGQ720626:SGQ720637 RWU720626:RWU720637 RMY720626:RMY720637 RDC720626:RDC720637 QTG720626:QTG720637 QJK720626:QJK720637 PZO720626:PZO720637 PPS720626:PPS720637 PFW720626:PFW720637 OWA720626:OWA720637 OME720626:OME720637 OCI720626:OCI720637 NSM720626:NSM720637 NIQ720626:NIQ720637 MYU720626:MYU720637 MOY720626:MOY720637 MFC720626:MFC720637 LVG720626:LVG720637 LLK720626:LLK720637 LBO720626:LBO720637 KRS720626:KRS720637 KHW720626:KHW720637 JYA720626:JYA720637 JOE720626:JOE720637 JEI720626:JEI720637 IUM720626:IUM720637 IKQ720626:IKQ720637 IAU720626:IAU720637 HQY720626:HQY720637 HHC720626:HHC720637 GXG720626:GXG720637 GNK720626:GNK720637 GDO720626:GDO720637 FTS720626:FTS720637 FJW720626:FJW720637 FAA720626:FAA720637 EQE720626:EQE720637 EGI720626:EGI720637 DWM720626:DWM720637 DMQ720626:DMQ720637 DCU720626:DCU720637 CSY720626:CSY720637 CJC720626:CJC720637 BZG720626:BZG720637 BPK720626:BPK720637 BFO720626:BFO720637 AVS720626:AVS720637 ALW720626:ALW720637 ACA720626:ACA720637 SE720626:SE720637 II720626:II720637 WUU655090:WUU655101 WKY655090:WKY655101 WBC655090:WBC655101 VRG655090:VRG655101 VHK655090:VHK655101 UXO655090:UXO655101 UNS655090:UNS655101 UDW655090:UDW655101 TUA655090:TUA655101 TKE655090:TKE655101 TAI655090:TAI655101 SQM655090:SQM655101 SGQ655090:SGQ655101 RWU655090:RWU655101 RMY655090:RMY655101 RDC655090:RDC655101 QTG655090:QTG655101 QJK655090:QJK655101 PZO655090:PZO655101 PPS655090:PPS655101 PFW655090:PFW655101 OWA655090:OWA655101 OME655090:OME655101 OCI655090:OCI655101 NSM655090:NSM655101 NIQ655090:NIQ655101 MYU655090:MYU655101 MOY655090:MOY655101 MFC655090:MFC655101 LVG655090:LVG655101 LLK655090:LLK655101 LBO655090:LBO655101 KRS655090:KRS655101 KHW655090:KHW655101 JYA655090:JYA655101 JOE655090:JOE655101 JEI655090:JEI655101 IUM655090:IUM655101 IKQ655090:IKQ655101 IAU655090:IAU655101 HQY655090:HQY655101 HHC655090:HHC655101 GXG655090:GXG655101 GNK655090:GNK655101 GDO655090:GDO655101 FTS655090:FTS655101 FJW655090:FJW655101 FAA655090:FAA655101 EQE655090:EQE655101 EGI655090:EGI655101 DWM655090:DWM655101 DMQ655090:DMQ655101 DCU655090:DCU655101 CSY655090:CSY655101 CJC655090:CJC655101 BZG655090:BZG655101 BPK655090:BPK655101 BFO655090:BFO655101 AVS655090:AVS655101 ALW655090:ALW655101 ACA655090:ACA655101 SE655090:SE655101 II655090:II655101 WUU589554:WUU589565 WKY589554:WKY589565 WBC589554:WBC589565 VRG589554:VRG589565 VHK589554:VHK589565 UXO589554:UXO589565 UNS589554:UNS589565 UDW589554:UDW589565 TUA589554:TUA589565 TKE589554:TKE589565 TAI589554:TAI589565 SQM589554:SQM589565 SGQ589554:SGQ589565 RWU589554:RWU589565 RMY589554:RMY589565 RDC589554:RDC589565 QTG589554:QTG589565 QJK589554:QJK589565 PZO589554:PZO589565 PPS589554:PPS589565 PFW589554:PFW589565 OWA589554:OWA589565 OME589554:OME589565 OCI589554:OCI589565 NSM589554:NSM589565 NIQ589554:NIQ589565 MYU589554:MYU589565 MOY589554:MOY589565 MFC589554:MFC589565 LVG589554:LVG589565 LLK589554:LLK589565 LBO589554:LBO589565 KRS589554:KRS589565 KHW589554:KHW589565 JYA589554:JYA589565 JOE589554:JOE589565 JEI589554:JEI589565 IUM589554:IUM589565 IKQ589554:IKQ589565 IAU589554:IAU589565 HQY589554:HQY589565 HHC589554:HHC589565 GXG589554:GXG589565 GNK589554:GNK589565 GDO589554:GDO589565 FTS589554:FTS589565 FJW589554:FJW589565 FAA589554:FAA589565 EQE589554:EQE589565 EGI589554:EGI589565 DWM589554:DWM589565 DMQ589554:DMQ589565 DCU589554:DCU589565 CSY589554:CSY589565 CJC589554:CJC589565 BZG589554:BZG589565 BPK589554:BPK589565 BFO589554:BFO589565 AVS589554:AVS589565 ALW589554:ALW589565 ACA589554:ACA589565 SE589554:SE589565 II589554:II589565 WUU524018:WUU524029 WKY524018:WKY524029 WBC524018:WBC524029 VRG524018:VRG524029 VHK524018:VHK524029 UXO524018:UXO524029 UNS524018:UNS524029 UDW524018:UDW524029 TUA524018:TUA524029 TKE524018:TKE524029 TAI524018:TAI524029 SQM524018:SQM524029 SGQ524018:SGQ524029 RWU524018:RWU524029 RMY524018:RMY524029 RDC524018:RDC524029 QTG524018:QTG524029 QJK524018:QJK524029 PZO524018:PZO524029 PPS524018:PPS524029 PFW524018:PFW524029 OWA524018:OWA524029 OME524018:OME524029 OCI524018:OCI524029 NSM524018:NSM524029 NIQ524018:NIQ524029 MYU524018:MYU524029 MOY524018:MOY524029 MFC524018:MFC524029 LVG524018:LVG524029 LLK524018:LLK524029 LBO524018:LBO524029 KRS524018:KRS524029 KHW524018:KHW524029 JYA524018:JYA524029 JOE524018:JOE524029 JEI524018:JEI524029 IUM524018:IUM524029 IKQ524018:IKQ524029 IAU524018:IAU524029 HQY524018:HQY524029 HHC524018:HHC524029 GXG524018:GXG524029 GNK524018:GNK524029 GDO524018:GDO524029 FTS524018:FTS524029 FJW524018:FJW524029 FAA524018:FAA524029 EQE524018:EQE524029 EGI524018:EGI524029 DWM524018:DWM524029 DMQ524018:DMQ524029 DCU524018:DCU524029 CSY524018:CSY524029 CJC524018:CJC524029 BZG524018:BZG524029 BPK524018:BPK524029 BFO524018:BFO524029 AVS524018:AVS524029 ALW524018:ALW524029 ACA524018:ACA524029 SE524018:SE524029 II524018:II524029 WUU458482:WUU458493 WKY458482:WKY458493 WBC458482:WBC458493 VRG458482:VRG458493 VHK458482:VHK458493 UXO458482:UXO458493 UNS458482:UNS458493 UDW458482:UDW458493 TUA458482:TUA458493 TKE458482:TKE458493 TAI458482:TAI458493 SQM458482:SQM458493 SGQ458482:SGQ458493 RWU458482:RWU458493 RMY458482:RMY458493 RDC458482:RDC458493 QTG458482:QTG458493 QJK458482:QJK458493 PZO458482:PZO458493 PPS458482:PPS458493 PFW458482:PFW458493 OWA458482:OWA458493 OME458482:OME458493 OCI458482:OCI458493 NSM458482:NSM458493 NIQ458482:NIQ458493 MYU458482:MYU458493 MOY458482:MOY458493 MFC458482:MFC458493 LVG458482:LVG458493 LLK458482:LLK458493 LBO458482:LBO458493 KRS458482:KRS458493 KHW458482:KHW458493 JYA458482:JYA458493 JOE458482:JOE458493 JEI458482:JEI458493 IUM458482:IUM458493 IKQ458482:IKQ458493 IAU458482:IAU458493 HQY458482:HQY458493 HHC458482:HHC458493 GXG458482:GXG458493 GNK458482:GNK458493 GDO458482:GDO458493 FTS458482:FTS458493 FJW458482:FJW458493 FAA458482:FAA458493 EQE458482:EQE458493 EGI458482:EGI458493 DWM458482:DWM458493 DMQ458482:DMQ458493 DCU458482:DCU458493 CSY458482:CSY458493 CJC458482:CJC458493 BZG458482:BZG458493 BPK458482:BPK458493 BFO458482:BFO458493 AVS458482:AVS458493 ALW458482:ALW458493 ACA458482:ACA458493 SE458482:SE458493 II458482:II458493 WUU392946:WUU392957 WKY392946:WKY392957 WBC392946:WBC392957 VRG392946:VRG392957 VHK392946:VHK392957 UXO392946:UXO392957 UNS392946:UNS392957 UDW392946:UDW392957 TUA392946:TUA392957 TKE392946:TKE392957 TAI392946:TAI392957 SQM392946:SQM392957 SGQ392946:SGQ392957 RWU392946:RWU392957 RMY392946:RMY392957 RDC392946:RDC392957 QTG392946:QTG392957 QJK392946:QJK392957 PZO392946:PZO392957 PPS392946:PPS392957 PFW392946:PFW392957 OWA392946:OWA392957 OME392946:OME392957 OCI392946:OCI392957 NSM392946:NSM392957 NIQ392946:NIQ392957 MYU392946:MYU392957 MOY392946:MOY392957 MFC392946:MFC392957 LVG392946:LVG392957 LLK392946:LLK392957 LBO392946:LBO392957 KRS392946:KRS392957 KHW392946:KHW392957 JYA392946:JYA392957 JOE392946:JOE392957 JEI392946:JEI392957 IUM392946:IUM392957 IKQ392946:IKQ392957 IAU392946:IAU392957 HQY392946:HQY392957 HHC392946:HHC392957 GXG392946:GXG392957 GNK392946:GNK392957 GDO392946:GDO392957 FTS392946:FTS392957 FJW392946:FJW392957 FAA392946:FAA392957 EQE392946:EQE392957 EGI392946:EGI392957 DWM392946:DWM392957 DMQ392946:DMQ392957 DCU392946:DCU392957 CSY392946:CSY392957 CJC392946:CJC392957 BZG392946:BZG392957 BPK392946:BPK392957 BFO392946:BFO392957 AVS392946:AVS392957 ALW392946:ALW392957 ACA392946:ACA392957 SE392946:SE392957 II392946:II392957 WUU327410:WUU327421 WKY327410:WKY327421 WBC327410:WBC327421 VRG327410:VRG327421 VHK327410:VHK327421 UXO327410:UXO327421 UNS327410:UNS327421 UDW327410:UDW327421 TUA327410:TUA327421 TKE327410:TKE327421 TAI327410:TAI327421 SQM327410:SQM327421 SGQ327410:SGQ327421 RWU327410:RWU327421 RMY327410:RMY327421 RDC327410:RDC327421 QTG327410:QTG327421 QJK327410:QJK327421 PZO327410:PZO327421 PPS327410:PPS327421 PFW327410:PFW327421 OWA327410:OWA327421 OME327410:OME327421 OCI327410:OCI327421 NSM327410:NSM327421 NIQ327410:NIQ327421 MYU327410:MYU327421 MOY327410:MOY327421 MFC327410:MFC327421 LVG327410:LVG327421 LLK327410:LLK327421 LBO327410:LBO327421 KRS327410:KRS327421 KHW327410:KHW327421 JYA327410:JYA327421 JOE327410:JOE327421 JEI327410:JEI327421 IUM327410:IUM327421 IKQ327410:IKQ327421 IAU327410:IAU327421 HQY327410:HQY327421 HHC327410:HHC327421 GXG327410:GXG327421 GNK327410:GNK327421 GDO327410:GDO327421 FTS327410:FTS327421 FJW327410:FJW327421 FAA327410:FAA327421 EQE327410:EQE327421 EGI327410:EGI327421 DWM327410:DWM327421 DMQ327410:DMQ327421 DCU327410:DCU327421 CSY327410:CSY327421 CJC327410:CJC327421 BZG327410:BZG327421 BPK327410:BPK327421 BFO327410:BFO327421 AVS327410:AVS327421 ALW327410:ALW327421 ACA327410:ACA327421 SE327410:SE327421 II327410:II327421 WUU261874:WUU261885 WKY261874:WKY261885 WBC261874:WBC261885 VRG261874:VRG261885 VHK261874:VHK261885 UXO261874:UXO261885 UNS261874:UNS261885 UDW261874:UDW261885 TUA261874:TUA261885 TKE261874:TKE261885 TAI261874:TAI261885 SQM261874:SQM261885 SGQ261874:SGQ261885 RWU261874:RWU261885 RMY261874:RMY261885 RDC261874:RDC261885 QTG261874:QTG261885 QJK261874:QJK261885 PZO261874:PZO261885 PPS261874:PPS261885 PFW261874:PFW261885 OWA261874:OWA261885 OME261874:OME261885 OCI261874:OCI261885 NSM261874:NSM261885 NIQ261874:NIQ261885 MYU261874:MYU261885 MOY261874:MOY261885 MFC261874:MFC261885 LVG261874:LVG261885 LLK261874:LLK261885 LBO261874:LBO261885 KRS261874:KRS261885 KHW261874:KHW261885 JYA261874:JYA261885 JOE261874:JOE261885 JEI261874:JEI261885 IUM261874:IUM261885 IKQ261874:IKQ261885 IAU261874:IAU261885 HQY261874:HQY261885 HHC261874:HHC261885 GXG261874:GXG261885 GNK261874:GNK261885 GDO261874:GDO261885 FTS261874:FTS261885 FJW261874:FJW261885 FAA261874:FAA261885 EQE261874:EQE261885 EGI261874:EGI261885 DWM261874:DWM261885 DMQ261874:DMQ261885 DCU261874:DCU261885 CSY261874:CSY261885 CJC261874:CJC261885 BZG261874:BZG261885 BPK261874:BPK261885 BFO261874:BFO261885 AVS261874:AVS261885 ALW261874:ALW261885 ACA261874:ACA261885 SE261874:SE261885 II261874:II261885 WUU196338:WUU196349 WKY196338:WKY196349 WBC196338:WBC196349 VRG196338:VRG196349 VHK196338:VHK196349 UXO196338:UXO196349 UNS196338:UNS196349 UDW196338:UDW196349 TUA196338:TUA196349 TKE196338:TKE196349 TAI196338:TAI196349 SQM196338:SQM196349 SGQ196338:SGQ196349 RWU196338:RWU196349 RMY196338:RMY196349 RDC196338:RDC196349 QTG196338:QTG196349 QJK196338:QJK196349 PZO196338:PZO196349 PPS196338:PPS196349 PFW196338:PFW196349 OWA196338:OWA196349 OME196338:OME196349 OCI196338:OCI196349 NSM196338:NSM196349 NIQ196338:NIQ196349 MYU196338:MYU196349 MOY196338:MOY196349 MFC196338:MFC196349 LVG196338:LVG196349 LLK196338:LLK196349 LBO196338:LBO196349 KRS196338:KRS196349 KHW196338:KHW196349 JYA196338:JYA196349 JOE196338:JOE196349 JEI196338:JEI196349 IUM196338:IUM196349 IKQ196338:IKQ196349 IAU196338:IAU196349 HQY196338:HQY196349 HHC196338:HHC196349 GXG196338:GXG196349 GNK196338:GNK196349 GDO196338:GDO196349 FTS196338:FTS196349 FJW196338:FJW196349 FAA196338:FAA196349 EQE196338:EQE196349 EGI196338:EGI196349 DWM196338:DWM196349 DMQ196338:DMQ196349 DCU196338:DCU196349 CSY196338:CSY196349 CJC196338:CJC196349 BZG196338:BZG196349 BPK196338:BPK196349 BFO196338:BFO196349 AVS196338:AVS196349 ALW196338:ALW196349 ACA196338:ACA196349 SE196338:SE196349 II196338:II196349 WUU130802:WUU130813 WKY130802:WKY130813 WBC130802:WBC130813 VRG130802:VRG130813 VHK130802:VHK130813 UXO130802:UXO130813 UNS130802:UNS130813 UDW130802:UDW130813 TUA130802:TUA130813 TKE130802:TKE130813 TAI130802:TAI130813 SQM130802:SQM130813 SGQ130802:SGQ130813 RWU130802:RWU130813 RMY130802:RMY130813 RDC130802:RDC130813 QTG130802:QTG130813 QJK130802:QJK130813 PZO130802:PZO130813 PPS130802:PPS130813 PFW130802:PFW130813 OWA130802:OWA130813 OME130802:OME130813 OCI130802:OCI130813 NSM130802:NSM130813 NIQ130802:NIQ130813 MYU130802:MYU130813 MOY130802:MOY130813 MFC130802:MFC130813 LVG130802:LVG130813 LLK130802:LLK130813 LBO130802:LBO130813 KRS130802:KRS130813 KHW130802:KHW130813 JYA130802:JYA130813 JOE130802:JOE130813 JEI130802:JEI130813 IUM130802:IUM130813 IKQ130802:IKQ130813 IAU130802:IAU130813 HQY130802:HQY130813 HHC130802:HHC130813 GXG130802:GXG130813 GNK130802:GNK130813 GDO130802:GDO130813 FTS130802:FTS130813 FJW130802:FJW130813 FAA130802:FAA130813 EQE130802:EQE130813 EGI130802:EGI130813 DWM130802:DWM130813 DMQ130802:DMQ130813 DCU130802:DCU130813 CSY130802:CSY130813 CJC130802:CJC130813 BZG130802:BZG130813 BPK130802:BPK130813 BFO130802:BFO130813 AVS130802:AVS130813 ALW130802:ALW130813 ACA130802:ACA130813 SE130802:SE130813 II130802:II130813 WUU65266:WUU65277 WKY65266:WKY65277 WBC65266:WBC65277 VRG65266:VRG65277 VHK65266:VHK65277 UXO65266:UXO65277 UNS65266:UNS65277 UDW65266:UDW65277 TUA65266:TUA65277 TKE65266:TKE65277 TAI65266:TAI65277 SQM65266:SQM65277 SGQ65266:SGQ65277 RWU65266:RWU65277 RMY65266:RMY65277 RDC65266:RDC65277 QTG65266:QTG65277 QJK65266:QJK65277 PZO65266:PZO65277 PPS65266:PPS65277 PFW65266:PFW65277 OWA65266:OWA65277 OME65266:OME65277 OCI65266:OCI65277 NSM65266:NSM65277 NIQ65266:NIQ65277 MYU65266:MYU65277 MOY65266:MOY65277 MFC65266:MFC65277 LVG65266:LVG65277 LLK65266:LLK65277 LBO65266:LBO65277 KRS65266:KRS65277 KHW65266:KHW65277 JYA65266:JYA65277 JOE65266:JOE65277 JEI65266:JEI65277 IUM65266:IUM65277 IKQ65266:IKQ65277 IAU65266:IAU65277 HQY65266:HQY65277 HHC65266:HHC65277 GXG65266:GXG65277 GNK65266:GNK65277 GDO65266:GDO65277 FTS65266:FTS65277 FJW65266:FJW65277 FAA65266:FAA65277 EQE65266:EQE65277 EGI65266:EGI65277 DWM65266:DWM65277 DMQ65266:DMQ65277 DCU65266:DCU65277 CSY65266:CSY65277 CJC65266:CJC65277 BZG65266:BZG65277 BPK65266:BPK65277 BFO65266:BFO65277 AVS65266:AVS65277 ALW65266:ALW65277 ACA65266:ACA65277 SE65266:SE65277 II65266:II65277 WVA982770:WVA982781 WLE982770:WLE982781 WBI982770:WBI982781 VRM982770:VRM982781 VHQ982770:VHQ982781 UXU982770:UXU982781 UNY982770:UNY982781 UEC982770:UEC982781 TUG982770:TUG982781 TKK982770:TKK982781 TAO982770:TAO982781 SQS982770:SQS982781 SGW982770:SGW982781 RXA982770:RXA982781 RNE982770:RNE982781 RDI982770:RDI982781 QTM982770:QTM982781 QJQ982770:QJQ982781 PZU982770:PZU982781 PPY982770:PPY982781 PGC982770:PGC982781 OWG982770:OWG982781 OMK982770:OMK982781 OCO982770:OCO982781 NSS982770:NSS982781 NIW982770:NIW982781 MZA982770:MZA982781 MPE982770:MPE982781 MFI982770:MFI982781 LVM982770:LVM982781 LLQ982770:LLQ982781 LBU982770:LBU982781 KRY982770:KRY982781 KIC982770:KIC982781 JYG982770:JYG982781 JOK982770:JOK982781 JEO982770:JEO982781 IUS982770:IUS982781 IKW982770:IKW982781 IBA982770:IBA982781 HRE982770:HRE982781 HHI982770:HHI982781 GXM982770:GXM982781 GNQ982770:GNQ982781 GDU982770:GDU982781 FTY982770:FTY982781 FKC982770:FKC982781 FAG982770:FAG982781 EQK982770:EQK982781 EGO982770:EGO982781 DWS982770:DWS982781 DMW982770:DMW982781 DDA982770:DDA982781 CTE982770:CTE982781 CJI982770:CJI982781 BZM982770:BZM982781 BPQ982770:BPQ982781 BFU982770:BFU982781 AVY982770:AVY982781 AMC982770:AMC982781 ACG982770:ACG982781 SK982770:SK982781 IO982770:IO982781 WVA917234:WVA917245 WLE917234:WLE917245 WBI917234:WBI917245 VRM917234:VRM917245 VHQ917234:VHQ917245 UXU917234:UXU917245 UNY917234:UNY917245 UEC917234:UEC917245 TUG917234:TUG917245 TKK917234:TKK917245 TAO917234:TAO917245 SQS917234:SQS917245 SGW917234:SGW917245 RXA917234:RXA917245 RNE917234:RNE917245 RDI917234:RDI917245 QTM917234:QTM917245 QJQ917234:QJQ917245 PZU917234:PZU917245 PPY917234:PPY917245 PGC917234:PGC917245 OWG917234:OWG917245 OMK917234:OMK917245 OCO917234:OCO917245 NSS917234:NSS917245 NIW917234:NIW917245 MZA917234:MZA917245 MPE917234:MPE917245 MFI917234:MFI917245 LVM917234:LVM917245 LLQ917234:LLQ917245 LBU917234:LBU917245 KRY917234:KRY917245 KIC917234:KIC917245 JYG917234:JYG917245 JOK917234:JOK917245 JEO917234:JEO917245 IUS917234:IUS917245 IKW917234:IKW917245 IBA917234:IBA917245 HRE917234:HRE917245 HHI917234:HHI917245 GXM917234:GXM917245 GNQ917234:GNQ917245 GDU917234:GDU917245 FTY917234:FTY917245 FKC917234:FKC917245 FAG917234:FAG917245 EQK917234:EQK917245 EGO917234:EGO917245 DWS917234:DWS917245 DMW917234:DMW917245 DDA917234:DDA917245 CTE917234:CTE917245 CJI917234:CJI917245 BZM917234:BZM917245 BPQ917234:BPQ917245 BFU917234:BFU917245 AVY917234:AVY917245 AMC917234:AMC917245 ACG917234:ACG917245 SK917234:SK917245 IO917234:IO917245 WVA851698:WVA851709 WLE851698:WLE851709 WBI851698:WBI851709 VRM851698:VRM851709 VHQ851698:VHQ851709 UXU851698:UXU851709 UNY851698:UNY851709 UEC851698:UEC851709 TUG851698:TUG851709 TKK851698:TKK851709 TAO851698:TAO851709 SQS851698:SQS851709 SGW851698:SGW851709 RXA851698:RXA851709 RNE851698:RNE851709 RDI851698:RDI851709 QTM851698:QTM851709 QJQ851698:QJQ851709 PZU851698:PZU851709 PPY851698:PPY851709 PGC851698:PGC851709 OWG851698:OWG851709 OMK851698:OMK851709 OCO851698:OCO851709 NSS851698:NSS851709 NIW851698:NIW851709 MZA851698:MZA851709 MPE851698:MPE851709 MFI851698:MFI851709 LVM851698:LVM851709 LLQ851698:LLQ851709 LBU851698:LBU851709 KRY851698:KRY851709 KIC851698:KIC851709 JYG851698:JYG851709 JOK851698:JOK851709 JEO851698:JEO851709 IUS851698:IUS851709 IKW851698:IKW851709 IBA851698:IBA851709 HRE851698:HRE851709 HHI851698:HHI851709 GXM851698:GXM851709 GNQ851698:GNQ851709 GDU851698:GDU851709 FTY851698:FTY851709 FKC851698:FKC851709 FAG851698:FAG851709 EQK851698:EQK851709 EGO851698:EGO851709 DWS851698:DWS851709 DMW851698:DMW851709 DDA851698:DDA851709 CTE851698:CTE851709 CJI851698:CJI851709 BZM851698:BZM851709 BPQ851698:BPQ851709 BFU851698:BFU851709 AVY851698:AVY851709 AMC851698:AMC851709 ACG851698:ACG851709 SK851698:SK851709 IO851698:IO851709 WVA786162:WVA786173 WLE786162:WLE786173 WBI786162:WBI786173 VRM786162:VRM786173 VHQ786162:VHQ786173 UXU786162:UXU786173 UNY786162:UNY786173 UEC786162:UEC786173 TUG786162:TUG786173 TKK786162:TKK786173 TAO786162:TAO786173 SQS786162:SQS786173 SGW786162:SGW786173 RXA786162:RXA786173 RNE786162:RNE786173 RDI786162:RDI786173 QTM786162:QTM786173 QJQ786162:QJQ786173 PZU786162:PZU786173 PPY786162:PPY786173 PGC786162:PGC786173 OWG786162:OWG786173 OMK786162:OMK786173 OCO786162:OCO786173 NSS786162:NSS786173 NIW786162:NIW786173 MZA786162:MZA786173 MPE786162:MPE786173 MFI786162:MFI786173 LVM786162:LVM786173 LLQ786162:LLQ786173 LBU786162:LBU786173 KRY786162:KRY786173 KIC786162:KIC786173 JYG786162:JYG786173 JOK786162:JOK786173 JEO786162:JEO786173 IUS786162:IUS786173 IKW786162:IKW786173 IBA786162:IBA786173 HRE786162:HRE786173 HHI786162:HHI786173 GXM786162:GXM786173 GNQ786162:GNQ786173 GDU786162:GDU786173 FTY786162:FTY786173 FKC786162:FKC786173 FAG786162:FAG786173 EQK786162:EQK786173 EGO786162:EGO786173 DWS786162:DWS786173 DMW786162:DMW786173 DDA786162:DDA786173 CTE786162:CTE786173 CJI786162:CJI786173 BZM786162:BZM786173 BPQ786162:BPQ786173 BFU786162:BFU786173 AVY786162:AVY786173 AMC786162:AMC786173 ACG786162:ACG786173 SK786162:SK786173 IO786162:IO786173 WVA720626:WVA720637 WLE720626:WLE720637 WBI720626:WBI720637 VRM720626:VRM720637 VHQ720626:VHQ720637 UXU720626:UXU720637 UNY720626:UNY720637 UEC720626:UEC720637 TUG720626:TUG720637 TKK720626:TKK720637 TAO720626:TAO720637 SQS720626:SQS720637 SGW720626:SGW720637 RXA720626:RXA720637 RNE720626:RNE720637 RDI720626:RDI720637 QTM720626:QTM720637 QJQ720626:QJQ720637 PZU720626:PZU720637 PPY720626:PPY720637 PGC720626:PGC720637 OWG720626:OWG720637 OMK720626:OMK720637 OCO720626:OCO720637 NSS720626:NSS720637 NIW720626:NIW720637 MZA720626:MZA720637 MPE720626:MPE720637 MFI720626:MFI720637 LVM720626:LVM720637 LLQ720626:LLQ720637 LBU720626:LBU720637 KRY720626:KRY720637 KIC720626:KIC720637 JYG720626:JYG720637 JOK720626:JOK720637 JEO720626:JEO720637 IUS720626:IUS720637 IKW720626:IKW720637 IBA720626:IBA720637 HRE720626:HRE720637 HHI720626:HHI720637 GXM720626:GXM720637 GNQ720626:GNQ720637 GDU720626:GDU720637 FTY720626:FTY720637 FKC720626:FKC720637 FAG720626:FAG720637 EQK720626:EQK720637 EGO720626:EGO720637 DWS720626:DWS720637 DMW720626:DMW720637 DDA720626:DDA720637 CTE720626:CTE720637 CJI720626:CJI720637 BZM720626:BZM720637 BPQ720626:BPQ720637 BFU720626:BFU720637 AVY720626:AVY720637 AMC720626:AMC720637 ACG720626:ACG720637 SK720626:SK720637 IO720626:IO720637 WVA655090:WVA655101 WLE655090:WLE655101 WBI655090:WBI655101 VRM655090:VRM655101 VHQ655090:VHQ655101 UXU655090:UXU655101 UNY655090:UNY655101 UEC655090:UEC655101 TUG655090:TUG655101 TKK655090:TKK655101 TAO655090:TAO655101 SQS655090:SQS655101 SGW655090:SGW655101 RXA655090:RXA655101 RNE655090:RNE655101 RDI655090:RDI655101 QTM655090:QTM655101 QJQ655090:QJQ655101 PZU655090:PZU655101 PPY655090:PPY655101 PGC655090:PGC655101 OWG655090:OWG655101 OMK655090:OMK655101 OCO655090:OCO655101 NSS655090:NSS655101 NIW655090:NIW655101 MZA655090:MZA655101 MPE655090:MPE655101 MFI655090:MFI655101 LVM655090:LVM655101 LLQ655090:LLQ655101 LBU655090:LBU655101 KRY655090:KRY655101 KIC655090:KIC655101 JYG655090:JYG655101 JOK655090:JOK655101 JEO655090:JEO655101 IUS655090:IUS655101 IKW655090:IKW655101 IBA655090:IBA655101 HRE655090:HRE655101 HHI655090:HHI655101 GXM655090:GXM655101 GNQ655090:GNQ655101 GDU655090:GDU655101 FTY655090:FTY655101 FKC655090:FKC655101 FAG655090:FAG655101 EQK655090:EQK655101 EGO655090:EGO655101 DWS655090:DWS655101 DMW655090:DMW655101 DDA655090:DDA655101 CTE655090:CTE655101 CJI655090:CJI655101 BZM655090:BZM655101 BPQ655090:BPQ655101 BFU655090:BFU655101 AVY655090:AVY655101 AMC655090:AMC655101 ACG655090:ACG655101 SK655090:SK655101 IO655090:IO655101 WVA589554:WVA589565 WLE589554:WLE589565 WBI589554:WBI589565 VRM589554:VRM589565 VHQ589554:VHQ589565 UXU589554:UXU589565 UNY589554:UNY589565 UEC589554:UEC589565 TUG589554:TUG589565 TKK589554:TKK589565 TAO589554:TAO589565 SQS589554:SQS589565 SGW589554:SGW589565 RXA589554:RXA589565 RNE589554:RNE589565 RDI589554:RDI589565 QTM589554:QTM589565 QJQ589554:QJQ589565 PZU589554:PZU589565 PPY589554:PPY589565 PGC589554:PGC589565 OWG589554:OWG589565 OMK589554:OMK589565 OCO589554:OCO589565 NSS589554:NSS589565 NIW589554:NIW589565 MZA589554:MZA589565 MPE589554:MPE589565 MFI589554:MFI589565 LVM589554:LVM589565 LLQ589554:LLQ589565 LBU589554:LBU589565 KRY589554:KRY589565 KIC589554:KIC589565 JYG589554:JYG589565 JOK589554:JOK589565 JEO589554:JEO589565 IUS589554:IUS589565 IKW589554:IKW589565 IBA589554:IBA589565 HRE589554:HRE589565 HHI589554:HHI589565 GXM589554:GXM589565 GNQ589554:GNQ589565 GDU589554:GDU589565 FTY589554:FTY589565 FKC589554:FKC589565 FAG589554:FAG589565 EQK589554:EQK589565 EGO589554:EGO589565 DWS589554:DWS589565 DMW589554:DMW589565 DDA589554:DDA589565 CTE589554:CTE589565 CJI589554:CJI589565 BZM589554:BZM589565 BPQ589554:BPQ589565 BFU589554:BFU589565 AVY589554:AVY589565 AMC589554:AMC589565 ACG589554:ACG589565 SK589554:SK589565 IO589554:IO589565 WVA524018:WVA524029 WLE524018:WLE524029 WBI524018:WBI524029 VRM524018:VRM524029 VHQ524018:VHQ524029 UXU524018:UXU524029 UNY524018:UNY524029 UEC524018:UEC524029 TUG524018:TUG524029 TKK524018:TKK524029 TAO524018:TAO524029 SQS524018:SQS524029 SGW524018:SGW524029 RXA524018:RXA524029 RNE524018:RNE524029 RDI524018:RDI524029 QTM524018:QTM524029 QJQ524018:QJQ524029 PZU524018:PZU524029 PPY524018:PPY524029 PGC524018:PGC524029 OWG524018:OWG524029 OMK524018:OMK524029 OCO524018:OCO524029 NSS524018:NSS524029 NIW524018:NIW524029 MZA524018:MZA524029 MPE524018:MPE524029 MFI524018:MFI524029 LVM524018:LVM524029 LLQ524018:LLQ524029 LBU524018:LBU524029 KRY524018:KRY524029 KIC524018:KIC524029 JYG524018:JYG524029 JOK524018:JOK524029 JEO524018:JEO524029 IUS524018:IUS524029 IKW524018:IKW524029 IBA524018:IBA524029 HRE524018:HRE524029 HHI524018:HHI524029 GXM524018:GXM524029 GNQ524018:GNQ524029 GDU524018:GDU524029 FTY524018:FTY524029 FKC524018:FKC524029 FAG524018:FAG524029 EQK524018:EQK524029 EGO524018:EGO524029 DWS524018:DWS524029 DMW524018:DMW524029 DDA524018:DDA524029 CTE524018:CTE524029 CJI524018:CJI524029 BZM524018:BZM524029 BPQ524018:BPQ524029 BFU524018:BFU524029 AVY524018:AVY524029 AMC524018:AMC524029 ACG524018:ACG524029 SK524018:SK524029 IO524018:IO524029 WVA458482:WVA458493 WLE458482:WLE458493 WBI458482:WBI458493 VRM458482:VRM458493 VHQ458482:VHQ458493 UXU458482:UXU458493 UNY458482:UNY458493 UEC458482:UEC458493 TUG458482:TUG458493 TKK458482:TKK458493 TAO458482:TAO458493 SQS458482:SQS458493 SGW458482:SGW458493 RXA458482:RXA458493 RNE458482:RNE458493 RDI458482:RDI458493 QTM458482:QTM458493 QJQ458482:QJQ458493 PZU458482:PZU458493 PPY458482:PPY458493 PGC458482:PGC458493 OWG458482:OWG458493 OMK458482:OMK458493 OCO458482:OCO458493 NSS458482:NSS458493 NIW458482:NIW458493 MZA458482:MZA458493 MPE458482:MPE458493 MFI458482:MFI458493 LVM458482:LVM458493 LLQ458482:LLQ458493 LBU458482:LBU458493 KRY458482:KRY458493 KIC458482:KIC458493 JYG458482:JYG458493 JOK458482:JOK458493 JEO458482:JEO458493 IUS458482:IUS458493 IKW458482:IKW458493 IBA458482:IBA458493 HRE458482:HRE458493 HHI458482:HHI458493 GXM458482:GXM458493 GNQ458482:GNQ458493 GDU458482:GDU458493 FTY458482:FTY458493 FKC458482:FKC458493 FAG458482:FAG458493 EQK458482:EQK458493 EGO458482:EGO458493 DWS458482:DWS458493 DMW458482:DMW458493 DDA458482:DDA458493 CTE458482:CTE458493 CJI458482:CJI458493 BZM458482:BZM458493 BPQ458482:BPQ458493 BFU458482:BFU458493 AVY458482:AVY458493 AMC458482:AMC458493 ACG458482:ACG458493 SK458482:SK458493 IO458482:IO458493 WVA392946:WVA392957 WLE392946:WLE392957 WBI392946:WBI392957 VRM392946:VRM392957 VHQ392946:VHQ392957 UXU392946:UXU392957 UNY392946:UNY392957 UEC392946:UEC392957 TUG392946:TUG392957 TKK392946:TKK392957 TAO392946:TAO392957 SQS392946:SQS392957 SGW392946:SGW392957 RXA392946:RXA392957 RNE392946:RNE392957 RDI392946:RDI392957 QTM392946:QTM392957 QJQ392946:QJQ392957 PZU392946:PZU392957 PPY392946:PPY392957 PGC392946:PGC392957 OWG392946:OWG392957 OMK392946:OMK392957 OCO392946:OCO392957 NSS392946:NSS392957 NIW392946:NIW392957 MZA392946:MZA392957 MPE392946:MPE392957 MFI392946:MFI392957 LVM392946:LVM392957 LLQ392946:LLQ392957 LBU392946:LBU392957 KRY392946:KRY392957 KIC392946:KIC392957 JYG392946:JYG392957 JOK392946:JOK392957 JEO392946:JEO392957 IUS392946:IUS392957 IKW392946:IKW392957 IBA392946:IBA392957 HRE392946:HRE392957 HHI392946:HHI392957 GXM392946:GXM392957 GNQ392946:GNQ392957 GDU392946:GDU392957 FTY392946:FTY392957 FKC392946:FKC392957 FAG392946:FAG392957 EQK392946:EQK392957 EGO392946:EGO392957 DWS392946:DWS392957 DMW392946:DMW392957 DDA392946:DDA392957 CTE392946:CTE392957 CJI392946:CJI392957 BZM392946:BZM392957 BPQ392946:BPQ392957 BFU392946:BFU392957 AVY392946:AVY392957 AMC392946:AMC392957 ACG392946:ACG392957 SK392946:SK392957 IO392946:IO392957 WVA327410:WVA327421 WLE327410:WLE327421 WBI327410:WBI327421 VRM327410:VRM327421 VHQ327410:VHQ327421 UXU327410:UXU327421 UNY327410:UNY327421 UEC327410:UEC327421 TUG327410:TUG327421 TKK327410:TKK327421 TAO327410:TAO327421 SQS327410:SQS327421 SGW327410:SGW327421 RXA327410:RXA327421 RNE327410:RNE327421 RDI327410:RDI327421 QTM327410:QTM327421 QJQ327410:QJQ327421 PZU327410:PZU327421 PPY327410:PPY327421 PGC327410:PGC327421 OWG327410:OWG327421 OMK327410:OMK327421 OCO327410:OCO327421 NSS327410:NSS327421 NIW327410:NIW327421 MZA327410:MZA327421 MPE327410:MPE327421 MFI327410:MFI327421 LVM327410:LVM327421 LLQ327410:LLQ327421 LBU327410:LBU327421 KRY327410:KRY327421 KIC327410:KIC327421 JYG327410:JYG327421 JOK327410:JOK327421 JEO327410:JEO327421 IUS327410:IUS327421 IKW327410:IKW327421 IBA327410:IBA327421 HRE327410:HRE327421 HHI327410:HHI327421 GXM327410:GXM327421 GNQ327410:GNQ327421 GDU327410:GDU327421 FTY327410:FTY327421 FKC327410:FKC327421 FAG327410:FAG327421 EQK327410:EQK327421 EGO327410:EGO327421 DWS327410:DWS327421 DMW327410:DMW327421 DDA327410:DDA327421 CTE327410:CTE327421 CJI327410:CJI327421 BZM327410:BZM327421 BPQ327410:BPQ327421 BFU327410:BFU327421 AVY327410:AVY327421 AMC327410:AMC327421 ACG327410:ACG327421 SK327410:SK327421 IO327410:IO327421 WVA261874:WVA261885 WLE261874:WLE261885 WBI261874:WBI261885 VRM261874:VRM261885 VHQ261874:VHQ261885 UXU261874:UXU261885 UNY261874:UNY261885 UEC261874:UEC261885 TUG261874:TUG261885 TKK261874:TKK261885 TAO261874:TAO261885 SQS261874:SQS261885 SGW261874:SGW261885 RXA261874:RXA261885 RNE261874:RNE261885 RDI261874:RDI261885 QTM261874:QTM261885 QJQ261874:QJQ261885 PZU261874:PZU261885 PPY261874:PPY261885 PGC261874:PGC261885 OWG261874:OWG261885 OMK261874:OMK261885 OCO261874:OCO261885 NSS261874:NSS261885 NIW261874:NIW261885 MZA261874:MZA261885 MPE261874:MPE261885 MFI261874:MFI261885 LVM261874:LVM261885 LLQ261874:LLQ261885 LBU261874:LBU261885 KRY261874:KRY261885 KIC261874:KIC261885 JYG261874:JYG261885 JOK261874:JOK261885 JEO261874:JEO261885 IUS261874:IUS261885 IKW261874:IKW261885 IBA261874:IBA261885 HRE261874:HRE261885 HHI261874:HHI261885 GXM261874:GXM261885 GNQ261874:GNQ261885 GDU261874:GDU261885 FTY261874:FTY261885 FKC261874:FKC261885 FAG261874:FAG261885 EQK261874:EQK261885 EGO261874:EGO261885 DWS261874:DWS261885 DMW261874:DMW261885 DDA261874:DDA261885 CTE261874:CTE261885 CJI261874:CJI261885 BZM261874:BZM261885 BPQ261874:BPQ261885 BFU261874:BFU261885 AVY261874:AVY261885 AMC261874:AMC261885 ACG261874:ACG261885 SK261874:SK261885 IO261874:IO261885 WVA196338:WVA196349 WLE196338:WLE196349 WBI196338:WBI196349 VRM196338:VRM196349 VHQ196338:VHQ196349 UXU196338:UXU196349 UNY196338:UNY196349 UEC196338:UEC196349 TUG196338:TUG196349 TKK196338:TKK196349 TAO196338:TAO196349 SQS196338:SQS196349 SGW196338:SGW196349 RXA196338:RXA196349 RNE196338:RNE196349 RDI196338:RDI196349 QTM196338:QTM196349 QJQ196338:QJQ196349 PZU196338:PZU196349 PPY196338:PPY196349 PGC196338:PGC196349 OWG196338:OWG196349 OMK196338:OMK196349 OCO196338:OCO196349 NSS196338:NSS196349 NIW196338:NIW196349 MZA196338:MZA196349 MPE196338:MPE196349 MFI196338:MFI196349 LVM196338:LVM196349 LLQ196338:LLQ196349 LBU196338:LBU196349 KRY196338:KRY196349 KIC196338:KIC196349 JYG196338:JYG196349 JOK196338:JOK196349 JEO196338:JEO196349 IUS196338:IUS196349 IKW196338:IKW196349 IBA196338:IBA196349 HRE196338:HRE196349 HHI196338:HHI196349 GXM196338:GXM196349 GNQ196338:GNQ196349 GDU196338:GDU196349 FTY196338:FTY196349 FKC196338:FKC196349 FAG196338:FAG196349 EQK196338:EQK196349 EGO196338:EGO196349 DWS196338:DWS196349 DMW196338:DMW196349 DDA196338:DDA196349 CTE196338:CTE196349 CJI196338:CJI196349 BZM196338:BZM196349 BPQ196338:BPQ196349 BFU196338:BFU196349 AVY196338:AVY196349 AMC196338:AMC196349 ACG196338:ACG196349 SK196338:SK196349 IO196338:IO196349 WVA130802:WVA130813 WLE130802:WLE130813 WBI130802:WBI130813 VRM130802:VRM130813 VHQ130802:VHQ130813 UXU130802:UXU130813 UNY130802:UNY130813 UEC130802:UEC130813 TUG130802:TUG130813 TKK130802:TKK130813 TAO130802:TAO130813 SQS130802:SQS130813 SGW130802:SGW130813 RXA130802:RXA130813 RNE130802:RNE130813 RDI130802:RDI130813 QTM130802:QTM130813 QJQ130802:QJQ130813 PZU130802:PZU130813 PPY130802:PPY130813 PGC130802:PGC130813 OWG130802:OWG130813 OMK130802:OMK130813 OCO130802:OCO130813 NSS130802:NSS130813 NIW130802:NIW130813 MZA130802:MZA130813 MPE130802:MPE130813 MFI130802:MFI130813 LVM130802:LVM130813 LLQ130802:LLQ130813 LBU130802:LBU130813 KRY130802:KRY130813 KIC130802:KIC130813 JYG130802:JYG130813 JOK130802:JOK130813 JEO130802:JEO130813 IUS130802:IUS130813 IKW130802:IKW130813 IBA130802:IBA130813 HRE130802:HRE130813 HHI130802:HHI130813 GXM130802:GXM130813 GNQ130802:GNQ130813 GDU130802:GDU130813 FTY130802:FTY130813 FKC130802:FKC130813 FAG130802:FAG130813 EQK130802:EQK130813 EGO130802:EGO130813 DWS130802:DWS130813 DMW130802:DMW130813 DDA130802:DDA130813 CTE130802:CTE130813 CJI130802:CJI130813 BZM130802:BZM130813 BPQ130802:BPQ130813 BFU130802:BFU130813 AVY130802:AVY130813 AMC130802:AMC130813 ACG130802:ACG130813 SK130802:SK130813 IO130802:IO130813 WVA65266:WVA65277 WLE65266:WLE65277 WBI65266:WBI65277 VRM65266:VRM65277 VHQ65266:VHQ65277 UXU65266:UXU65277 UNY65266:UNY65277 UEC65266:UEC65277 TUG65266:TUG65277 TKK65266:TKK65277 TAO65266:TAO65277 SQS65266:SQS65277 SGW65266:SGW65277 RXA65266:RXA65277 RNE65266:RNE65277 RDI65266:RDI65277 QTM65266:QTM65277 QJQ65266:QJQ65277 PZU65266:PZU65277 PPY65266:PPY65277 PGC65266:PGC65277 OWG65266:OWG65277 OMK65266:OMK65277 OCO65266:OCO65277 NSS65266:NSS65277 NIW65266:NIW65277 MZA65266:MZA65277 MPE65266:MPE65277 MFI65266:MFI65277 LVM65266:LVM65277 LLQ65266:LLQ65277 LBU65266:LBU65277 KRY65266:KRY65277 KIC65266:KIC65277 JYG65266:JYG65277 JOK65266:JOK65277 JEO65266:JEO65277 IUS65266:IUS65277 IKW65266:IKW65277 IBA65266:IBA65277 HRE65266:HRE65277 HHI65266:HHI65277 GXM65266:GXM65277 GNQ65266:GNQ65277 GDU65266:GDU65277 FTY65266:FTY65277 FKC65266:FKC65277 FAG65266:FAG65277 EQK65266:EQK65277 EGO65266:EGO65277 DWS65266:DWS65277 DMW65266:DMW65277 DDA65266:DDA65277 CTE65266:CTE65277 CJI65266:CJI65277 BZM65266:BZM65277 BPQ65266:BPQ65277 BFU65266:BFU65277 AVY65266:AVY65277 AMC65266:AMC65277 ACG65266:ACG65277 SK65266:SK65277 IO65266:IO65277 WUU982770:WUU982781 V65268:V65279 V130804:V130815 V196340:V196351 V261876:V261887 V327412:V327423 V392948:V392959 V458484:V458495 V524020:V524031 V589556:V589567 V655092:V655103 V720628:V720639 V786164:V786175 V851700:V851711 V917236:V917247 V982772:V982783" xr:uid="{00000000-0002-0000-0200-000003000000}">
      <formula1>1</formula1>
      <formula2>100000</formula2>
    </dataValidation>
    <dataValidation type="whole" allowBlank="1" showInputMessage="1" showErrorMessage="1" errorTitle="WRONG ENTRY" error="INPUT WHOLE NUMBER ONLY. CLICK RETRY TO INPUT VALID WHOLE NUMBER BETWEEN 1 TO 100000. _x000a_THANKING YOU_x000a_VINAY SAWANT." promptTitle="NUMBER" prompt="INPUT WHOLE NUMBER BETWEEN 1-100000." sqref="WUK982763:WUK982816 RU11:RU80 ABQ11:ABQ80 ALM11:ALM80 AVI11:AVI80 BFE11:BFE80 BPA11:BPA80 BYW11:BYW80 CIS11:CIS80 CSO11:CSO80 DCK11:DCK80 DMG11:DMG80 DWC11:DWC80 EFY11:EFY80 EPU11:EPU80 EZQ11:EZQ80 FJM11:FJM80 FTI11:FTI80 GDE11:GDE80 GNA11:GNA80 GWW11:GWW80 HGS11:HGS80 HQO11:HQO80 IAK11:IAK80 IKG11:IKG80 IUC11:IUC80 JDY11:JDY80 JNU11:JNU80 JXQ11:JXQ80 KHM11:KHM80 KRI11:KRI80 LBE11:LBE80 LLA11:LLA80 LUW11:LUW80 MES11:MES80 MOO11:MOO80 MYK11:MYK80 NIG11:NIG80 NSC11:NSC80 OBY11:OBY80 OLU11:OLU80 OVQ11:OVQ80 PFM11:PFM80 PPI11:PPI80 PZE11:PZE80 QJA11:QJA80 QSW11:QSW80 RCS11:RCS80 RMO11:RMO80 RWK11:RWK80 SGG11:SGG80 SQC11:SQC80 SZY11:SZY80 TJU11:TJU80 TTQ11:TTQ80 UDM11:UDM80 UNI11:UNI80 UXE11:UXE80 VHA11:VHA80 VQW11:VQW80 WAS11:WAS80 WKO11:WKO80 WUK11:WUK80 HY11:HY80 RMO982763:RMO982816 RCS982763:RCS982816 QSW982763:QSW982816 QJA982763:QJA982816 PZE982763:PZE982816 PPI982763:PPI982816 PFM982763:PFM982816 OVQ982763:OVQ982816 OLU982763:OLU982816 OBY982763:OBY982816 NSC982763:NSC982816 NIG982763:NIG982816 MYK982763:MYK982816 MOO982763:MOO982816 MES982763:MES982816 LUW982763:LUW982816 LLA982763:LLA982816 LBE982763:LBE982816 KRI982763:KRI982816 KHM982763:KHM982816 JXQ982763:JXQ982816 JNU982763:JNU982816 JDY982763:JDY982816 IUC982763:IUC982816 IKG982763:IKG982816 IAK982763:IAK982816 HQO982763:HQO982816 HGS982763:HGS982816 GWW982763:GWW982816 GNA982763:GNA982816 GDE982763:GDE982816 FTI982763:FTI982816 FJM982763:FJM982816 EZQ982763:EZQ982816 EPU982763:EPU982816 EFY982763:EFY982816 DWC982763:DWC982816 DMG982763:DMG982816 DCK982763:DCK982816 CSO982763:CSO982816 CIS982763:CIS982816 BYW982763:BYW982816 BPA982763:BPA982816 BFE982763:BFE982816 AVI982763:AVI982816 ALM982763:ALM982816 ABQ982763:ABQ982816 RU982763:RU982816 HY982763:HY982816 WUK917227:WUK917280 WKO917227:WKO917280 WAS917227:WAS917280 VQW917227:VQW917280 VHA917227:VHA917280 UXE917227:UXE917280 UNI917227:UNI917280 UDM917227:UDM917280 TTQ917227:TTQ917280 TJU917227:TJU917280 SZY917227:SZY917280 SQC917227:SQC917280 SGG917227:SGG917280 RWK917227:RWK917280 RMO917227:RMO917280 RCS917227:RCS917280 QSW917227:QSW917280 QJA917227:QJA917280 PZE917227:PZE917280 PPI917227:PPI917280 PFM917227:PFM917280 OVQ917227:OVQ917280 OLU917227:OLU917280 OBY917227:OBY917280 NSC917227:NSC917280 NIG917227:NIG917280 MYK917227:MYK917280 MOO917227:MOO917280 MES917227:MES917280 LUW917227:LUW917280 LLA917227:LLA917280 LBE917227:LBE917280 KRI917227:KRI917280 KHM917227:KHM917280 JXQ917227:JXQ917280 JNU917227:JNU917280 JDY917227:JDY917280 IUC917227:IUC917280 IKG917227:IKG917280 IAK917227:IAK917280 HQO917227:HQO917280 HGS917227:HGS917280 GWW917227:GWW917280 GNA917227:GNA917280 GDE917227:GDE917280 FTI917227:FTI917280 FJM917227:FJM917280 EZQ917227:EZQ917280 EPU917227:EPU917280 EFY917227:EFY917280 DWC917227:DWC917280 DMG917227:DMG917280 DCK917227:DCK917280 CSO917227:CSO917280 CIS917227:CIS917280 BYW917227:BYW917280 BPA917227:BPA917280 BFE917227:BFE917280 AVI917227:AVI917280 ALM917227:ALM917280 ABQ917227:ABQ917280 RU917227:RU917280 HY917227:HY917280 WUK851691:WUK851744 WKO851691:WKO851744 WAS851691:WAS851744 VQW851691:VQW851744 VHA851691:VHA851744 UXE851691:UXE851744 UNI851691:UNI851744 UDM851691:UDM851744 TTQ851691:TTQ851744 TJU851691:TJU851744 SZY851691:SZY851744 SQC851691:SQC851744 SGG851691:SGG851744 RWK851691:RWK851744 RMO851691:RMO851744 RCS851691:RCS851744 QSW851691:QSW851744 QJA851691:QJA851744 PZE851691:PZE851744 PPI851691:PPI851744 PFM851691:PFM851744 OVQ851691:OVQ851744 OLU851691:OLU851744 OBY851691:OBY851744 NSC851691:NSC851744 NIG851691:NIG851744 MYK851691:MYK851744 MOO851691:MOO851744 MES851691:MES851744 LUW851691:LUW851744 LLA851691:LLA851744 LBE851691:LBE851744 KRI851691:KRI851744 KHM851691:KHM851744 JXQ851691:JXQ851744 JNU851691:JNU851744 JDY851691:JDY851744 IUC851691:IUC851744 IKG851691:IKG851744 IAK851691:IAK851744 HQO851691:HQO851744 HGS851691:HGS851744 GWW851691:GWW851744 GNA851691:GNA851744 GDE851691:GDE851744 FTI851691:FTI851744 FJM851691:FJM851744 EZQ851691:EZQ851744 EPU851691:EPU851744 EFY851691:EFY851744 DWC851691:DWC851744 DMG851691:DMG851744 DCK851691:DCK851744 CSO851691:CSO851744 CIS851691:CIS851744 BYW851691:BYW851744 BPA851691:BPA851744 BFE851691:BFE851744 AVI851691:AVI851744 ALM851691:ALM851744 ABQ851691:ABQ851744 RU851691:RU851744 HY851691:HY851744 WUK786155:WUK786208 WKO786155:WKO786208 WAS786155:WAS786208 VQW786155:VQW786208 VHA786155:VHA786208 UXE786155:UXE786208 UNI786155:UNI786208 UDM786155:UDM786208 TTQ786155:TTQ786208 TJU786155:TJU786208 SZY786155:SZY786208 SQC786155:SQC786208 SGG786155:SGG786208 RWK786155:RWK786208 RMO786155:RMO786208 RCS786155:RCS786208 QSW786155:QSW786208 QJA786155:QJA786208 PZE786155:PZE786208 PPI786155:PPI786208 PFM786155:PFM786208 OVQ786155:OVQ786208 OLU786155:OLU786208 OBY786155:OBY786208 NSC786155:NSC786208 NIG786155:NIG786208 MYK786155:MYK786208 MOO786155:MOO786208 MES786155:MES786208 LUW786155:LUW786208 LLA786155:LLA786208 LBE786155:LBE786208 KRI786155:KRI786208 KHM786155:KHM786208 JXQ786155:JXQ786208 JNU786155:JNU786208 JDY786155:JDY786208 IUC786155:IUC786208 IKG786155:IKG786208 IAK786155:IAK786208 HQO786155:HQO786208 HGS786155:HGS786208 GWW786155:GWW786208 GNA786155:GNA786208 GDE786155:GDE786208 FTI786155:FTI786208 FJM786155:FJM786208 EZQ786155:EZQ786208 EPU786155:EPU786208 EFY786155:EFY786208 DWC786155:DWC786208 DMG786155:DMG786208 DCK786155:DCK786208 CSO786155:CSO786208 CIS786155:CIS786208 BYW786155:BYW786208 BPA786155:BPA786208 BFE786155:BFE786208 AVI786155:AVI786208 ALM786155:ALM786208 ABQ786155:ABQ786208 RU786155:RU786208 HY786155:HY786208 WUK720619:WUK720672 WKO720619:WKO720672 WAS720619:WAS720672 VQW720619:VQW720672 VHA720619:VHA720672 UXE720619:UXE720672 UNI720619:UNI720672 UDM720619:UDM720672 TTQ720619:TTQ720672 TJU720619:TJU720672 SZY720619:SZY720672 SQC720619:SQC720672 SGG720619:SGG720672 RWK720619:RWK720672 RMO720619:RMO720672 RCS720619:RCS720672 QSW720619:QSW720672 QJA720619:QJA720672 PZE720619:PZE720672 PPI720619:PPI720672 PFM720619:PFM720672 OVQ720619:OVQ720672 OLU720619:OLU720672 OBY720619:OBY720672 NSC720619:NSC720672 NIG720619:NIG720672 MYK720619:MYK720672 MOO720619:MOO720672 MES720619:MES720672 LUW720619:LUW720672 LLA720619:LLA720672 LBE720619:LBE720672 KRI720619:KRI720672 KHM720619:KHM720672 JXQ720619:JXQ720672 JNU720619:JNU720672 JDY720619:JDY720672 IUC720619:IUC720672 IKG720619:IKG720672 IAK720619:IAK720672 HQO720619:HQO720672 HGS720619:HGS720672 GWW720619:GWW720672 GNA720619:GNA720672 GDE720619:GDE720672 FTI720619:FTI720672 FJM720619:FJM720672 EZQ720619:EZQ720672 EPU720619:EPU720672 EFY720619:EFY720672 DWC720619:DWC720672 DMG720619:DMG720672 DCK720619:DCK720672 CSO720619:CSO720672 CIS720619:CIS720672 BYW720619:BYW720672 BPA720619:BPA720672 BFE720619:BFE720672 AVI720619:AVI720672 ALM720619:ALM720672 ABQ720619:ABQ720672 RU720619:RU720672 HY720619:HY720672 WUK655083:WUK655136 WKO655083:WKO655136 WAS655083:WAS655136 VQW655083:VQW655136 VHA655083:VHA655136 UXE655083:UXE655136 UNI655083:UNI655136 UDM655083:UDM655136 TTQ655083:TTQ655136 TJU655083:TJU655136 SZY655083:SZY655136 SQC655083:SQC655136 SGG655083:SGG655136 RWK655083:RWK655136 RMO655083:RMO655136 RCS655083:RCS655136 QSW655083:QSW655136 QJA655083:QJA655136 PZE655083:PZE655136 PPI655083:PPI655136 PFM655083:PFM655136 OVQ655083:OVQ655136 OLU655083:OLU655136 OBY655083:OBY655136 NSC655083:NSC655136 NIG655083:NIG655136 MYK655083:MYK655136 MOO655083:MOO655136 MES655083:MES655136 LUW655083:LUW655136 LLA655083:LLA655136 LBE655083:LBE655136 KRI655083:KRI655136 KHM655083:KHM655136 JXQ655083:JXQ655136 JNU655083:JNU655136 JDY655083:JDY655136 IUC655083:IUC655136 IKG655083:IKG655136 IAK655083:IAK655136 HQO655083:HQO655136 HGS655083:HGS655136 GWW655083:GWW655136 GNA655083:GNA655136 GDE655083:GDE655136 FTI655083:FTI655136 FJM655083:FJM655136 EZQ655083:EZQ655136 EPU655083:EPU655136 EFY655083:EFY655136 DWC655083:DWC655136 DMG655083:DMG655136 DCK655083:DCK655136 CSO655083:CSO655136 CIS655083:CIS655136 BYW655083:BYW655136 BPA655083:BPA655136 BFE655083:BFE655136 AVI655083:AVI655136 ALM655083:ALM655136 ABQ655083:ABQ655136 RU655083:RU655136 HY655083:HY655136 WUK589547:WUK589600 WKO589547:WKO589600 WAS589547:WAS589600 VQW589547:VQW589600 VHA589547:VHA589600 UXE589547:UXE589600 UNI589547:UNI589600 UDM589547:UDM589600 TTQ589547:TTQ589600 TJU589547:TJU589600 SZY589547:SZY589600 SQC589547:SQC589600 SGG589547:SGG589600 RWK589547:RWK589600 RMO589547:RMO589600 RCS589547:RCS589600 QSW589547:QSW589600 QJA589547:QJA589600 PZE589547:PZE589600 PPI589547:PPI589600 PFM589547:PFM589600 OVQ589547:OVQ589600 OLU589547:OLU589600 OBY589547:OBY589600 NSC589547:NSC589600 NIG589547:NIG589600 MYK589547:MYK589600 MOO589547:MOO589600 MES589547:MES589600 LUW589547:LUW589600 LLA589547:LLA589600 LBE589547:LBE589600 KRI589547:KRI589600 KHM589547:KHM589600 JXQ589547:JXQ589600 JNU589547:JNU589600 JDY589547:JDY589600 IUC589547:IUC589600 IKG589547:IKG589600 IAK589547:IAK589600 HQO589547:HQO589600 HGS589547:HGS589600 GWW589547:GWW589600 GNA589547:GNA589600 GDE589547:GDE589600 FTI589547:FTI589600 FJM589547:FJM589600 EZQ589547:EZQ589600 EPU589547:EPU589600 EFY589547:EFY589600 DWC589547:DWC589600 DMG589547:DMG589600 DCK589547:DCK589600 CSO589547:CSO589600 CIS589547:CIS589600 BYW589547:BYW589600 BPA589547:BPA589600 BFE589547:BFE589600 AVI589547:AVI589600 ALM589547:ALM589600 ABQ589547:ABQ589600 RU589547:RU589600 HY589547:HY589600 WUK524011:WUK524064 WKO524011:WKO524064 WAS524011:WAS524064 VQW524011:VQW524064 VHA524011:VHA524064 UXE524011:UXE524064 UNI524011:UNI524064 UDM524011:UDM524064 TTQ524011:TTQ524064 TJU524011:TJU524064 SZY524011:SZY524064 SQC524011:SQC524064 SGG524011:SGG524064 RWK524011:RWK524064 RMO524011:RMO524064 RCS524011:RCS524064 QSW524011:QSW524064 QJA524011:QJA524064 PZE524011:PZE524064 PPI524011:PPI524064 PFM524011:PFM524064 OVQ524011:OVQ524064 OLU524011:OLU524064 OBY524011:OBY524064 NSC524011:NSC524064 NIG524011:NIG524064 MYK524011:MYK524064 MOO524011:MOO524064 MES524011:MES524064 LUW524011:LUW524064 LLA524011:LLA524064 LBE524011:LBE524064 KRI524011:KRI524064 KHM524011:KHM524064 JXQ524011:JXQ524064 JNU524011:JNU524064 JDY524011:JDY524064 IUC524011:IUC524064 IKG524011:IKG524064 IAK524011:IAK524064 HQO524011:HQO524064 HGS524011:HGS524064 GWW524011:GWW524064 GNA524011:GNA524064 GDE524011:GDE524064 FTI524011:FTI524064 FJM524011:FJM524064 EZQ524011:EZQ524064 EPU524011:EPU524064 EFY524011:EFY524064 DWC524011:DWC524064 DMG524011:DMG524064 DCK524011:DCK524064 CSO524011:CSO524064 CIS524011:CIS524064 BYW524011:BYW524064 BPA524011:BPA524064 BFE524011:BFE524064 AVI524011:AVI524064 ALM524011:ALM524064 ABQ524011:ABQ524064 RU524011:RU524064 HY524011:HY524064 WUK458475:WUK458528 WKO458475:WKO458528 WAS458475:WAS458528 VQW458475:VQW458528 VHA458475:VHA458528 UXE458475:UXE458528 UNI458475:UNI458528 UDM458475:UDM458528 TTQ458475:TTQ458528 TJU458475:TJU458528 SZY458475:SZY458528 SQC458475:SQC458528 SGG458475:SGG458528 RWK458475:RWK458528 RMO458475:RMO458528 RCS458475:RCS458528 QSW458475:QSW458528 QJA458475:QJA458528 PZE458475:PZE458528 PPI458475:PPI458528 PFM458475:PFM458528 OVQ458475:OVQ458528 OLU458475:OLU458528 OBY458475:OBY458528 NSC458475:NSC458528 NIG458475:NIG458528 MYK458475:MYK458528 MOO458475:MOO458528 MES458475:MES458528 LUW458475:LUW458528 LLA458475:LLA458528 LBE458475:LBE458528 KRI458475:KRI458528 KHM458475:KHM458528 JXQ458475:JXQ458528 JNU458475:JNU458528 JDY458475:JDY458528 IUC458475:IUC458528 IKG458475:IKG458528 IAK458475:IAK458528 HQO458475:HQO458528 HGS458475:HGS458528 GWW458475:GWW458528 GNA458475:GNA458528 GDE458475:GDE458528 FTI458475:FTI458528 FJM458475:FJM458528 EZQ458475:EZQ458528 EPU458475:EPU458528 EFY458475:EFY458528 DWC458475:DWC458528 DMG458475:DMG458528 DCK458475:DCK458528 CSO458475:CSO458528 CIS458475:CIS458528 BYW458475:BYW458528 BPA458475:BPA458528 BFE458475:BFE458528 AVI458475:AVI458528 ALM458475:ALM458528 ABQ458475:ABQ458528 RU458475:RU458528 HY458475:HY458528 WUK392939:WUK392992 WKO392939:WKO392992 WAS392939:WAS392992 VQW392939:VQW392992 VHA392939:VHA392992 UXE392939:UXE392992 UNI392939:UNI392992 UDM392939:UDM392992 TTQ392939:TTQ392992 TJU392939:TJU392992 SZY392939:SZY392992 SQC392939:SQC392992 SGG392939:SGG392992 RWK392939:RWK392992 RMO392939:RMO392992 RCS392939:RCS392992 QSW392939:QSW392992 QJA392939:QJA392992 PZE392939:PZE392992 PPI392939:PPI392992 PFM392939:PFM392992 OVQ392939:OVQ392992 OLU392939:OLU392992 OBY392939:OBY392992 NSC392939:NSC392992 NIG392939:NIG392992 MYK392939:MYK392992 MOO392939:MOO392992 MES392939:MES392992 LUW392939:LUW392992 LLA392939:LLA392992 LBE392939:LBE392992 KRI392939:KRI392992 KHM392939:KHM392992 JXQ392939:JXQ392992 JNU392939:JNU392992 JDY392939:JDY392992 IUC392939:IUC392992 IKG392939:IKG392992 IAK392939:IAK392992 HQO392939:HQO392992 HGS392939:HGS392992 GWW392939:GWW392992 GNA392939:GNA392992 GDE392939:GDE392992 FTI392939:FTI392992 FJM392939:FJM392992 EZQ392939:EZQ392992 EPU392939:EPU392992 EFY392939:EFY392992 DWC392939:DWC392992 DMG392939:DMG392992 DCK392939:DCK392992 CSO392939:CSO392992 CIS392939:CIS392992 BYW392939:BYW392992 BPA392939:BPA392992 BFE392939:BFE392992 AVI392939:AVI392992 ALM392939:ALM392992 ABQ392939:ABQ392992 RU392939:RU392992 HY392939:HY392992 WUK327403:WUK327456 WKO327403:WKO327456 WAS327403:WAS327456 VQW327403:VQW327456 VHA327403:VHA327456 UXE327403:UXE327456 UNI327403:UNI327456 UDM327403:UDM327456 TTQ327403:TTQ327456 TJU327403:TJU327456 SZY327403:SZY327456 SQC327403:SQC327456 SGG327403:SGG327456 RWK327403:RWK327456 RMO327403:RMO327456 RCS327403:RCS327456 QSW327403:QSW327456 QJA327403:QJA327456 PZE327403:PZE327456 PPI327403:PPI327456 PFM327403:PFM327456 OVQ327403:OVQ327456 OLU327403:OLU327456 OBY327403:OBY327456 NSC327403:NSC327456 NIG327403:NIG327456 MYK327403:MYK327456 MOO327403:MOO327456 MES327403:MES327456 LUW327403:LUW327456 LLA327403:LLA327456 LBE327403:LBE327456 KRI327403:KRI327456 KHM327403:KHM327456 JXQ327403:JXQ327456 JNU327403:JNU327456 JDY327403:JDY327456 IUC327403:IUC327456 IKG327403:IKG327456 IAK327403:IAK327456 HQO327403:HQO327456 HGS327403:HGS327456 GWW327403:GWW327456 GNA327403:GNA327456 GDE327403:GDE327456 FTI327403:FTI327456 FJM327403:FJM327456 EZQ327403:EZQ327456 EPU327403:EPU327456 EFY327403:EFY327456 DWC327403:DWC327456 DMG327403:DMG327456 DCK327403:DCK327456 CSO327403:CSO327456 CIS327403:CIS327456 BYW327403:BYW327456 BPA327403:BPA327456 BFE327403:BFE327456 AVI327403:AVI327456 ALM327403:ALM327456 ABQ327403:ABQ327456 RU327403:RU327456 HY327403:HY327456 WUK261867:WUK261920 WKO261867:WKO261920 WAS261867:WAS261920 VQW261867:VQW261920 VHA261867:VHA261920 UXE261867:UXE261920 UNI261867:UNI261920 UDM261867:UDM261920 TTQ261867:TTQ261920 TJU261867:TJU261920 SZY261867:SZY261920 SQC261867:SQC261920 SGG261867:SGG261920 RWK261867:RWK261920 RMO261867:RMO261920 RCS261867:RCS261920 QSW261867:QSW261920 QJA261867:QJA261920 PZE261867:PZE261920 PPI261867:PPI261920 PFM261867:PFM261920 OVQ261867:OVQ261920 OLU261867:OLU261920 OBY261867:OBY261920 NSC261867:NSC261920 NIG261867:NIG261920 MYK261867:MYK261920 MOO261867:MOO261920 MES261867:MES261920 LUW261867:LUW261920 LLA261867:LLA261920 LBE261867:LBE261920 KRI261867:KRI261920 KHM261867:KHM261920 JXQ261867:JXQ261920 JNU261867:JNU261920 JDY261867:JDY261920 IUC261867:IUC261920 IKG261867:IKG261920 IAK261867:IAK261920 HQO261867:HQO261920 HGS261867:HGS261920 GWW261867:GWW261920 GNA261867:GNA261920 GDE261867:GDE261920 FTI261867:FTI261920 FJM261867:FJM261920 EZQ261867:EZQ261920 EPU261867:EPU261920 EFY261867:EFY261920 DWC261867:DWC261920 DMG261867:DMG261920 DCK261867:DCK261920 CSO261867:CSO261920 CIS261867:CIS261920 BYW261867:BYW261920 BPA261867:BPA261920 BFE261867:BFE261920 AVI261867:AVI261920 ALM261867:ALM261920 ABQ261867:ABQ261920 RU261867:RU261920 HY261867:HY261920 WUK196331:WUK196384 WKO196331:WKO196384 WAS196331:WAS196384 VQW196331:VQW196384 VHA196331:VHA196384 UXE196331:UXE196384 UNI196331:UNI196384 UDM196331:UDM196384 TTQ196331:TTQ196384 TJU196331:TJU196384 SZY196331:SZY196384 SQC196331:SQC196384 SGG196331:SGG196384 RWK196331:RWK196384 RMO196331:RMO196384 RCS196331:RCS196384 QSW196331:QSW196384 QJA196331:QJA196384 PZE196331:PZE196384 PPI196331:PPI196384 PFM196331:PFM196384 OVQ196331:OVQ196384 OLU196331:OLU196384 OBY196331:OBY196384 NSC196331:NSC196384 NIG196331:NIG196384 MYK196331:MYK196384 MOO196331:MOO196384 MES196331:MES196384 LUW196331:LUW196384 LLA196331:LLA196384 LBE196331:LBE196384 KRI196331:KRI196384 KHM196331:KHM196384 JXQ196331:JXQ196384 JNU196331:JNU196384 JDY196331:JDY196384 IUC196331:IUC196384 IKG196331:IKG196384 IAK196331:IAK196384 HQO196331:HQO196384 HGS196331:HGS196384 GWW196331:GWW196384 GNA196331:GNA196384 GDE196331:GDE196384 FTI196331:FTI196384 FJM196331:FJM196384 EZQ196331:EZQ196384 EPU196331:EPU196384 EFY196331:EFY196384 DWC196331:DWC196384 DMG196331:DMG196384 DCK196331:DCK196384 CSO196331:CSO196384 CIS196331:CIS196384 BYW196331:BYW196384 BPA196331:BPA196384 BFE196331:BFE196384 AVI196331:AVI196384 ALM196331:ALM196384 ABQ196331:ABQ196384 RU196331:RU196384 HY196331:HY196384 WUK130795:WUK130848 WKO130795:WKO130848 WAS130795:WAS130848 VQW130795:VQW130848 VHA130795:VHA130848 UXE130795:UXE130848 UNI130795:UNI130848 UDM130795:UDM130848 TTQ130795:TTQ130848 TJU130795:TJU130848 SZY130795:SZY130848 SQC130795:SQC130848 SGG130795:SGG130848 RWK130795:RWK130848 RMO130795:RMO130848 RCS130795:RCS130848 QSW130795:QSW130848 QJA130795:QJA130848 PZE130795:PZE130848 PPI130795:PPI130848 PFM130795:PFM130848 OVQ130795:OVQ130848 OLU130795:OLU130848 OBY130795:OBY130848 NSC130795:NSC130848 NIG130795:NIG130848 MYK130795:MYK130848 MOO130795:MOO130848 MES130795:MES130848 LUW130795:LUW130848 LLA130795:LLA130848 LBE130795:LBE130848 KRI130795:KRI130848 KHM130795:KHM130848 JXQ130795:JXQ130848 JNU130795:JNU130848 JDY130795:JDY130848 IUC130795:IUC130848 IKG130795:IKG130848 IAK130795:IAK130848 HQO130795:HQO130848 HGS130795:HGS130848 GWW130795:GWW130848 GNA130795:GNA130848 GDE130795:GDE130848 FTI130795:FTI130848 FJM130795:FJM130848 EZQ130795:EZQ130848 EPU130795:EPU130848 EFY130795:EFY130848 DWC130795:DWC130848 DMG130795:DMG130848 DCK130795:DCK130848 CSO130795:CSO130848 CIS130795:CIS130848 BYW130795:BYW130848 BPA130795:BPA130848 BFE130795:BFE130848 AVI130795:AVI130848 ALM130795:ALM130848 ABQ130795:ABQ130848 RU130795:RU130848 HY130795:HY130848 WUK65259:WUK65312 WKO65259:WKO65312 WAS65259:WAS65312 VQW65259:VQW65312 VHA65259:VHA65312 UXE65259:UXE65312 UNI65259:UNI65312 UDM65259:UDM65312 TTQ65259:TTQ65312 TJU65259:TJU65312 SZY65259:SZY65312 SQC65259:SQC65312 SGG65259:SGG65312 RWK65259:RWK65312 RMO65259:RMO65312 RCS65259:RCS65312 QSW65259:QSW65312 QJA65259:QJA65312 PZE65259:PZE65312 PPI65259:PPI65312 PFM65259:PFM65312 OVQ65259:OVQ65312 OLU65259:OLU65312 OBY65259:OBY65312 NSC65259:NSC65312 NIG65259:NIG65312 MYK65259:MYK65312 MOO65259:MOO65312 MES65259:MES65312 LUW65259:LUW65312 LLA65259:LLA65312 LBE65259:LBE65312 KRI65259:KRI65312 KHM65259:KHM65312 JXQ65259:JXQ65312 JNU65259:JNU65312 JDY65259:JDY65312 IUC65259:IUC65312 IKG65259:IKG65312 IAK65259:IAK65312 HQO65259:HQO65312 HGS65259:HGS65312 GWW65259:GWW65312 GNA65259:GNA65312 GDE65259:GDE65312 FTI65259:FTI65312 FJM65259:FJM65312 EZQ65259:EZQ65312 EPU65259:EPU65312 EFY65259:EFY65312 DWC65259:DWC65312 DMG65259:DMG65312 DCK65259:DCK65312 CSO65259:CSO65312 CIS65259:CIS65312 BYW65259:BYW65312 BPA65259:BPA65312 BFE65259:BFE65312 AVI65259:AVI65312 ALM65259:ALM65312 ABQ65259:ABQ65312 RU65259:RU65312 HY65259:HY65312 WAS982763:WAS982816 VQW982763:VQW982816 VHA982763:VHA982816 UXE982763:UXE982816 UNI982763:UNI982816 UDM982763:UDM982816 TTQ982763:TTQ982816 TJU982763:TJU982816 SZY982763:SZY982816 SQC982763:SQC982816 SGG982763:SGG982816 RWK982763:RWK982816 WKO982763:WKO982816 K982762:K982815 K917226:K917279 K851690:K851743 K786154:K786207 K720618:K720671 K655082:K655135 K589546:K589599 K524010:K524063 K458474:K458527 K392938:K392991 K327402:K327455 K261866:K261919 K196330:K196383 K130794:K130847 K65258:K65311" xr:uid="{00000000-0002-0000-0200-000004000000}">
      <formula1>1</formula1>
      <formula2>100000</formula2>
    </dataValidation>
    <dataValidation type="whole" allowBlank="1" showInputMessage="1" showErrorMessage="1" errorTitle="WRONG ENTRY" error="INPUT WHOLE NUMBER ONLY. CLICK RETRY TO INPUT VALID WHOLE NUMBER BETWEEN 1 TO 100000._x000a_THANKING YOU _x000a_VINAY SAWANT" promptTitle="NUMBER" prompt="INPUT WHOLE NUMBER BETWEEN 1-100000" sqref="SGL982763:SGL982799 WVC69:WVC73 WLG69:WLG73 WBK69:WBK73 VRO69:VRO73 VHS69:VHS73 UXW69:UXW73 UOA69:UOA73 UEE69:UEE73 TUI69:TUI73 TKM69:TKM73 TAQ69:TAQ73 SQU69:SQU73 SGY69:SGY73 RXC69:RXC73 RNG69:RNG73 RDK69:RDK73 QTO69:QTO73 QJS69:QJS73 PZW69:PZW73 PQA69:PQA73 PGE69:PGE73 OWI69:OWI73 OMM69:OMM73 OCQ69:OCQ73 NSU69:NSU73 NIY69:NIY73 MZC69:MZC73 MPG69:MPG73 MFK69:MFK73 LVO69:LVO73 LLS69:LLS73 LBW69:LBW73 KSA69:KSA73 KIE69:KIE73 JYI69:JYI73 JOM69:JOM73 JEQ69:JEQ73 IUU69:IUU73 IKY69:IKY73 IBC69:IBC73 HRG69:HRG73 HHK69:HHK73 GXO69:GXO73 GNS69:GNS73 GDW69:GDW73 FUA69:FUA73 FKE69:FKE73 FAI69:FAI73 EQM69:EQM73 EGQ69:EGQ73 DWU69:DWU73 DMY69:DMY73 DDC69:DDC73 CTG69:CTG73 CJK69:CJK73 BZO69:BZO73 BPS69:BPS73 BFW69:BFW73 AWA69:AWA73 AME69:AME73 ACI69:ACI73 SM69:SM73 IQ69:IQ73 WVJ69:WVJ79 WLN69:WLN79 WBR69:WBR79 VRV69:VRV79 VHZ69:VHZ79 UYD69:UYD79 UOH69:UOH79 UEL69:UEL79 TUP69:TUP79 TKT69:TKT79 TAX69:TAX79 SRB69:SRB79 SHF69:SHF79 RXJ69:RXJ79 RNN69:RNN79 RDR69:RDR79 QTV69:QTV79 QJZ69:QJZ79 QAD69:QAD79 PQH69:PQH79 PGL69:PGL79 OWP69:OWP79 OMT69:OMT79 OCX69:OCX79 NTB69:NTB79 NJF69:NJF79 MZJ69:MZJ79 MPN69:MPN79 MFR69:MFR79 LVV69:LVV79 LLZ69:LLZ79 LCD69:LCD79 KSH69:KSH79 KIL69:KIL79 JYP69:JYP79 JOT69:JOT79 JEX69:JEX79 IVB69:IVB79 ILF69:ILF79 IBJ69:IBJ79 HRN69:HRN79 HHR69:HHR79 GXV69:GXV79 GNZ69:GNZ79 GED69:GED79 FUH69:FUH79 FKL69:FKL79 FAP69:FAP79 EQT69:EQT79 EGX69:EGX79 DXB69:DXB79 DNF69:DNF79 DDJ69:DDJ79 CTN69:CTN79 CJR69:CJR79 BZV69:BZV79 BPZ69:BPZ79 BGD69:BGD79 AWH69:AWH79 AML69:AML79 ACP69:ACP79 ST69:ST79 IX69:IX79 WVJ83:WVJ84 WLN83:WLN84 WBR83:WBR84 VRV83:VRV84 VHZ83:VHZ84 UYD83:UYD84 UOH83:UOH84 UEL83:UEL84 TUP83:TUP84 TKT83:TKT84 TAX83:TAX84 SRB83:SRB84 SHF83:SHF84 RXJ83:RXJ84 RNN83:RNN84 RDR83:RDR84 QTV83:QTV84 QJZ83:QJZ84 QAD83:QAD84 PQH83:PQH84 PGL83:PGL84 OWP83:OWP84 OMT83:OMT84 OCX83:OCX84 NTB83:NTB84 NJF83:NJF84 MZJ83:MZJ84 MPN83:MPN84 MFR83:MFR84 LVV83:LVV84 LLZ83:LLZ84 LCD83:LCD84 KSH83:KSH84 KIL83:KIL84 JYP83:JYP84 JOT83:JOT84 JEX83:JEX84 IVB83:IVB84 ILF83:ILF84 IBJ83:IBJ84 HRN83:HRN84 HHR83:HHR84 GXV83:GXV84 GNZ83:GNZ84 GED83:GED84 FUH83:FUH84 FKL83:FKL84 FAP83:FAP84 EQT83:EQT84 EGX83:EGX84 DXB83:DXB84 DNF83:DNF84 DDJ83:DDJ84 CTN83:CTN84 CJR83:CJR84 BZV83:BZV84 BPZ83:BPZ84 BGD83:BGD84 AWH83:AWH84 AML83:AML84 ACP83:ACP84 ST83:ST84 IX83:IX84 WVC80:WVC85 WLG80:WLG85 WBK80:WBK85 VRO80:VRO85 VHS80:VHS85 UXW80:UXW85 UOA80:UOA85 UEE80:UEE85 TUI80:TUI85 TKM80:TKM85 TAQ80:TAQ85 SQU80:SQU85 SGY80:SGY85 RXC80:RXC85 RNG80:RNG85 RDK80:RDK85 QTO80:QTO85 QJS80:QJS85 PZW80:PZW85 PQA80:PQA85 PGE80:PGE85 OWI80:OWI85 OMM80:OMM85 OCQ80:OCQ85 NSU80:NSU85 NIY80:NIY85 MZC80:MZC85 MPG80:MPG85 MFK80:MFK85 LVO80:LVO85 LLS80:LLS85 LBW80:LBW85 KSA80:KSA85 KIE80:KIE85 JYI80:JYI85 JOM80:JOM85 JEQ80:JEQ85 IUU80:IUU85 IKY80:IKY85 IBC80:IBC85 HRG80:HRG85 HHK80:HHK85 GXO80:GXO85 GNS80:GNS85 GDW80:GDW85 FUA80:FUA85 FKE80:FKE85 FAI80:FAI85 EQM80:EQM85 EGQ80:EGQ85 DWU80:DWU85 DMY80:DMY85 DDC80:DDC85 CTG80:CTG85 CJK80:CJK85 BZO80:BZO85 BPS80:BPS85 BFW80:BFW85 AWA80:AWA85 AME80:AME85 ACI80:ACI85 SM80:SM85 IQ80:IQ85 ID11:ID55 RZ11:RZ55 ABV11:ABV55 ALR11:ALR55 AVN11:AVN55 BFJ11:BFJ55 BPF11:BPF55 BZB11:BZB55 CIX11:CIX55 CST11:CST55 DCP11:DCP55 DML11:DML55 DWH11:DWH55 EGD11:EGD55 EPZ11:EPZ55 EZV11:EZV55 FJR11:FJR55 FTN11:FTN55 GDJ11:GDJ55 GNF11:GNF55 GXB11:GXB55 HGX11:HGX55 HQT11:HQT55 IAP11:IAP55 IKL11:IKL55 IUH11:IUH55 JED11:JED55 JNZ11:JNZ55 JXV11:JXV55 KHR11:KHR55 KRN11:KRN55 LBJ11:LBJ55 LLF11:LLF55 LVB11:LVB55 MEX11:MEX55 MOT11:MOT55 MYP11:MYP55 NIL11:NIL55 NSH11:NSH55 OCD11:OCD55 OLZ11:OLZ55 OVV11:OVV55 PFR11:PFR55 PPN11:PPN55 PZJ11:PZJ55 QJF11:QJF55 QTB11:QTB55 RCX11:RCX55 RMT11:RMT55 RWP11:RWP55 SGL11:SGL55 SQH11:SQH55 TAD11:TAD55 TJZ11:TJZ55 TTV11:TTV55 UDR11:UDR55 UNN11:UNN55 UXJ11:UXJ55 VHF11:VHF55 VRB11:VRB55 WAX11:WAX55 WKT11:WKT55 WUP11:WUP55 RMT982763:RMT982799 RCX982763:RCX982799 QTB982763:QTB982799 QJF982763:QJF982799 PZJ982763:PZJ982799 PPN982763:PPN982799 PFR982763:PFR982799 OVV982763:OVV982799 OLZ982763:OLZ982799 OCD982763:OCD982799 NSH982763:NSH982799 NIL982763:NIL982799 MYP982763:MYP982799 MOT982763:MOT982799 MEX982763:MEX982799 LVB982763:LVB982799 LLF982763:LLF982799 LBJ982763:LBJ982799 KRN982763:KRN982799 KHR982763:KHR982799 JXV982763:JXV982799 JNZ982763:JNZ982799 JED982763:JED982799 IUH982763:IUH982799 IKL982763:IKL982799 IAP982763:IAP982799 HQT982763:HQT982799 HGX982763:HGX982799 GXB982763:GXB982799 GNF982763:GNF982799 GDJ982763:GDJ982799 FTN982763:FTN982799 FJR982763:FJR982799 EZV982763:EZV982799 EPZ982763:EPZ982799 EGD982763:EGD982799 DWH982763:DWH982799 DML982763:DML982799 DCP982763:DCP982799 CST982763:CST982799 CIX982763:CIX982799 BZB982763:BZB982799 BPF982763:BPF982799 BFJ982763:BFJ982799 AVN982763:AVN982799 ALR982763:ALR982799 ABV982763:ABV982799 RZ982763:RZ982799 ID982763:ID982799 WUP917227:WUP917263 WKT917227:WKT917263 WAX917227:WAX917263 VRB917227:VRB917263 VHF917227:VHF917263 UXJ917227:UXJ917263 UNN917227:UNN917263 UDR917227:UDR917263 TTV917227:TTV917263 TJZ917227:TJZ917263 TAD917227:TAD917263 SQH917227:SQH917263 SGL917227:SGL917263 RWP917227:RWP917263 RMT917227:RMT917263 RCX917227:RCX917263 QTB917227:QTB917263 QJF917227:QJF917263 PZJ917227:PZJ917263 PPN917227:PPN917263 PFR917227:PFR917263 OVV917227:OVV917263 OLZ917227:OLZ917263 OCD917227:OCD917263 NSH917227:NSH917263 NIL917227:NIL917263 MYP917227:MYP917263 MOT917227:MOT917263 MEX917227:MEX917263 LVB917227:LVB917263 LLF917227:LLF917263 LBJ917227:LBJ917263 KRN917227:KRN917263 KHR917227:KHR917263 JXV917227:JXV917263 JNZ917227:JNZ917263 JED917227:JED917263 IUH917227:IUH917263 IKL917227:IKL917263 IAP917227:IAP917263 HQT917227:HQT917263 HGX917227:HGX917263 GXB917227:GXB917263 GNF917227:GNF917263 GDJ917227:GDJ917263 FTN917227:FTN917263 FJR917227:FJR917263 EZV917227:EZV917263 EPZ917227:EPZ917263 EGD917227:EGD917263 DWH917227:DWH917263 DML917227:DML917263 DCP917227:DCP917263 CST917227:CST917263 CIX917227:CIX917263 BZB917227:BZB917263 BPF917227:BPF917263 BFJ917227:BFJ917263 AVN917227:AVN917263 ALR917227:ALR917263 ABV917227:ABV917263 RZ917227:RZ917263 ID917227:ID917263 WUP851691:WUP851727 WKT851691:WKT851727 WAX851691:WAX851727 VRB851691:VRB851727 VHF851691:VHF851727 UXJ851691:UXJ851727 UNN851691:UNN851727 UDR851691:UDR851727 TTV851691:TTV851727 TJZ851691:TJZ851727 TAD851691:TAD851727 SQH851691:SQH851727 SGL851691:SGL851727 RWP851691:RWP851727 RMT851691:RMT851727 RCX851691:RCX851727 QTB851691:QTB851727 QJF851691:QJF851727 PZJ851691:PZJ851727 PPN851691:PPN851727 PFR851691:PFR851727 OVV851691:OVV851727 OLZ851691:OLZ851727 OCD851691:OCD851727 NSH851691:NSH851727 NIL851691:NIL851727 MYP851691:MYP851727 MOT851691:MOT851727 MEX851691:MEX851727 LVB851691:LVB851727 LLF851691:LLF851727 LBJ851691:LBJ851727 KRN851691:KRN851727 KHR851691:KHR851727 JXV851691:JXV851727 JNZ851691:JNZ851727 JED851691:JED851727 IUH851691:IUH851727 IKL851691:IKL851727 IAP851691:IAP851727 HQT851691:HQT851727 HGX851691:HGX851727 GXB851691:GXB851727 GNF851691:GNF851727 GDJ851691:GDJ851727 FTN851691:FTN851727 FJR851691:FJR851727 EZV851691:EZV851727 EPZ851691:EPZ851727 EGD851691:EGD851727 DWH851691:DWH851727 DML851691:DML851727 DCP851691:DCP851727 CST851691:CST851727 CIX851691:CIX851727 BZB851691:BZB851727 BPF851691:BPF851727 BFJ851691:BFJ851727 AVN851691:AVN851727 ALR851691:ALR851727 ABV851691:ABV851727 RZ851691:RZ851727 ID851691:ID851727 WUP786155:WUP786191 WKT786155:WKT786191 WAX786155:WAX786191 VRB786155:VRB786191 VHF786155:VHF786191 UXJ786155:UXJ786191 UNN786155:UNN786191 UDR786155:UDR786191 TTV786155:TTV786191 TJZ786155:TJZ786191 TAD786155:TAD786191 SQH786155:SQH786191 SGL786155:SGL786191 RWP786155:RWP786191 RMT786155:RMT786191 RCX786155:RCX786191 QTB786155:QTB786191 QJF786155:QJF786191 PZJ786155:PZJ786191 PPN786155:PPN786191 PFR786155:PFR786191 OVV786155:OVV786191 OLZ786155:OLZ786191 OCD786155:OCD786191 NSH786155:NSH786191 NIL786155:NIL786191 MYP786155:MYP786191 MOT786155:MOT786191 MEX786155:MEX786191 LVB786155:LVB786191 LLF786155:LLF786191 LBJ786155:LBJ786191 KRN786155:KRN786191 KHR786155:KHR786191 JXV786155:JXV786191 JNZ786155:JNZ786191 JED786155:JED786191 IUH786155:IUH786191 IKL786155:IKL786191 IAP786155:IAP786191 HQT786155:HQT786191 HGX786155:HGX786191 GXB786155:GXB786191 GNF786155:GNF786191 GDJ786155:GDJ786191 FTN786155:FTN786191 FJR786155:FJR786191 EZV786155:EZV786191 EPZ786155:EPZ786191 EGD786155:EGD786191 DWH786155:DWH786191 DML786155:DML786191 DCP786155:DCP786191 CST786155:CST786191 CIX786155:CIX786191 BZB786155:BZB786191 BPF786155:BPF786191 BFJ786155:BFJ786191 AVN786155:AVN786191 ALR786155:ALR786191 ABV786155:ABV786191 RZ786155:RZ786191 ID786155:ID786191 WUP720619:WUP720655 WKT720619:WKT720655 WAX720619:WAX720655 VRB720619:VRB720655 VHF720619:VHF720655 UXJ720619:UXJ720655 UNN720619:UNN720655 UDR720619:UDR720655 TTV720619:TTV720655 TJZ720619:TJZ720655 TAD720619:TAD720655 SQH720619:SQH720655 SGL720619:SGL720655 RWP720619:RWP720655 RMT720619:RMT720655 RCX720619:RCX720655 QTB720619:QTB720655 QJF720619:QJF720655 PZJ720619:PZJ720655 PPN720619:PPN720655 PFR720619:PFR720655 OVV720619:OVV720655 OLZ720619:OLZ720655 OCD720619:OCD720655 NSH720619:NSH720655 NIL720619:NIL720655 MYP720619:MYP720655 MOT720619:MOT720655 MEX720619:MEX720655 LVB720619:LVB720655 LLF720619:LLF720655 LBJ720619:LBJ720655 KRN720619:KRN720655 KHR720619:KHR720655 JXV720619:JXV720655 JNZ720619:JNZ720655 JED720619:JED720655 IUH720619:IUH720655 IKL720619:IKL720655 IAP720619:IAP720655 HQT720619:HQT720655 HGX720619:HGX720655 GXB720619:GXB720655 GNF720619:GNF720655 GDJ720619:GDJ720655 FTN720619:FTN720655 FJR720619:FJR720655 EZV720619:EZV720655 EPZ720619:EPZ720655 EGD720619:EGD720655 DWH720619:DWH720655 DML720619:DML720655 DCP720619:DCP720655 CST720619:CST720655 CIX720619:CIX720655 BZB720619:BZB720655 BPF720619:BPF720655 BFJ720619:BFJ720655 AVN720619:AVN720655 ALR720619:ALR720655 ABV720619:ABV720655 RZ720619:RZ720655 ID720619:ID720655 WUP655083:WUP655119 WKT655083:WKT655119 WAX655083:WAX655119 VRB655083:VRB655119 VHF655083:VHF655119 UXJ655083:UXJ655119 UNN655083:UNN655119 UDR655083:UDR655119 TTV655083:TTV655119 TJZ655083:TJZ655119 TAD655083:TAD655119 SQH655083:SQH655119 SGL655083:SGL655119 RWP655083:RWP655119 RMT655083:RMT655119 RCX655083:RCX655119 QTB655083:QTB655119 QJF655083:QJF655119 PZJ655083:PZJ655119 PPN655083:PPN655119 PFR655083:PFR655119 OVV655083:OVV655119 OLZ655083:OLZ655119 OCD655083:OCD655119 NSH655083:NSH655119 NIL655083:NIL655119 MYP655083:MYP655119 MOT655083:MOT655119 MEX655083:MEX655119 LVB655083:LVB655119 LLF655083:LLF655119 LBJ655083:LBJ655119 KRN655083:KRN655119 KHR655083:KHR655119 JXV655083:JXV655119 JNZ655083:JNZ655119 JED655083:JED655119 IUH655083:IUH655119 IKL655083:IKL655119 IAP655083:IAP655119 HQT655083:HQT655119 HGX655083:HGX655119 GXB655083:GXB655119 GNF655083:GNF655119 GDJ655083:GDJ655119 FTN655083:FTN655119 FJR655083:FJR655119 EZV655083:EZV655119 EPZ655083:EPZ655119 EGD655083:EGD655119 DWH655083:DWH655119 DML655083:DML655119 DCP655083:DCP655119 CST655083:CST655119 CIX655083:CIX655119 BZB655083:BZB655119 BPF655083:BPF655119 BFJ655083:BFJ655119 AVN655083:AVN655119 ALR655083:ALR655119 ABV655083:ABV655119 RZ655083:RZ655119 ID655083:ID655119 WUP589547:WUP589583 WKT589547:WKT589583 WAX589547:WAX589583 VRB589547:VRB589583 VHF589547:VHF589583 UXJ589547:UXJ589583 UNN589547:UNN589583 UDR589547:UDR589583 TTV589547:TTV589583 TJZ589547:TJZ589583 TAD589547:TAD589583 SQH589547:SQH589583 SGL589547:SGL589583 RWP589547:RWP589583 RMT589547:RMT589583 RCX589547:RCX589583 QTB589547:QTB589583 QJF589547:QJF589583 PZJ589547:PZJ589583 PPN589547:PPN589583 PFR589547:PFR589583 OVV589547:OVV589583 OLZ589547:OLZ589583 OCD589547:OCD589583 NSH589547:NSH589583 NIL589547:NIL589583 MYP589547:MYP589583 MOT589547:MOT589583 MEX589547:MEX589583 LVB589547:LVB589583 LLF589547:LLF589583 LBJ589547:LBJ589583 KRN589547:KRN589583 KHR589547:KHR589583 JXV589547:JXV589583 JNZ589547:JNZ589583 JED589547:JED589583 IUH589547:IUH589583 IKL589547:IKL589583 IAP589547:IAP589583 HQT589547:HQT589583 HGX589547:HGX589583 GXB589547:GXB589583 GNF589547:GNF589583 GDJ589547:GDJ589583 FTN589547:FTN589583 FJR589547:FJR589583 EZV589547:EZV589583 EPZ589547:EPZ589583 EGD589547:EGD589583 DWH589547:DWH589583 DML589547:DML589583 DCP589547:DCP589583 CST589547:CST589583 CIX589547:CIX589583 BZB589547:BZB589583 BPF589547:BPF589583 BFJ589547:BFJ589583 AVN589547:AVN589583 ALR589547:ALR589583 ABV589547:ABV589583 RZ589547:RZ589583 ID589547:ID589583 WUP524011:WUP524047 WKT524011:WKT524047 WAX524011:WAX524047 VRB524011:VRB524047 VHF524011:VHF524047 UXJ524011:UXJ524047 UNN524011:UNN524047 UDR524011:UDR524047 TTV524011:TTV524047 TJZ524011:TJZ524047 TAD524011:TAD524047 SQH524011:SQH524047 SGL524011:SGL524047 RWP524011:RWP524047 RMT524011:RMT524047 RCX524011:RCX524047 QTB524011:QTB524047 QJF524011:QJF524047 PZJ524011:PZJ524047 PPN524011:PPN524047 PFR524011:PFR524047 OVV524011:OVV524047 OLZ524011:OLZ524047 OCD524011:OCD524047 NSH524011:NSH524047 NIL524011:NIL524047 MYP524011:MYP524047 MOT524011:MOT524047 MEX524011:MEX524047 LVB524011:LVB524047 LLF524011:LLF524047 LBJ524011:LBJ524047 KRN524011:KRN524047 KHR524011:KHR524047 JXV524011:JXV524047 JNZ524011:JNZ524047 JED524011:JED524047 IUH524011:IUH524047 IKL524011:IKL524047 IAP524011:IAP524047 HQT524011:HQT524047 HGX524011:HGX524047 GXB524011:GXB524047 GNF524011:GNF524047 GDJ524011:GDJ524047 FTN524011:FTN524047 FJR524011:FJR524047 EZV524011:EZV524047 EPZ524011:EPZ524047 EGD524011:EGD524047 DWH524011:DWH524047 DML524011:DML524047 DCP524011:DCP524047 CST524011:CST524047 CIX524011:CIX524047 BZB524011:BZB524047 BPF524011:BPF524047 BFJ524011:BFJ524047 AVN524011:AVN524047 ALR524011:ALR524047 ABV524011:ABV524047 RZ524011:RZ524047 ID524011:ID524047 WUP458475:WUP458511 WKT458475:WKT458511 WAX458475:WAX458511 VRB458475:VRB458511 VHF458475:VHF458511 UXJ458475:UXJ458511 UNN458475:UNN458511 UDR458475:UDR458511 TTV458475:TTV458511 TJZ458475:TJZ458511 TAD458475:TAD458511 SQH458475:SQH458511 SGL458475:SGL458511 RWP458475:RWP458511 RMT458475:RMT458511 RCX458475:RCX458511 QTB458475:QTB458511 QJF458475:QJF458511 PZJ458475:PZJ458511 PPN458475:PPN458511 PFR458475:PFR458511 OVV458475:OVV458511 OLZ458475:OLZ458511 OCD458475:OCD458511 NSH458475:NSH458511 NIL458475:NIL458511 MYP458475:MYP458511 MOT458475:MOT458511 MEX458475:MEX458511 LVB458475:LVB458511 LLF458475:LLF458511 LBJ458475:LBJ458511 KRN458475:KRN458511 KHR458475:KHR458511 JXV458475:JXV458511 JNZ458475:JNZ458511 JED458475:JED458511 IUH458475:IUH458511 IKL458475:IKL458511 IAP458475:IAP458511 HQT458475:HQT458511 HGX458475:HGX458511 GXB458475:GXB458511 GNF458475:GNF458511 GDJ458475:GDJ458511 FTN458475:FTN458511 FJR458475:FJR458511 EZV458475:EZV458511 EPZ458475:EPZ458511 EGD458475:EGD458511 DWH458475:DWH458511 DML458475:DML458511 DCP458475:DCP458511 CST458475:CST458511 CIX458475:CIX458511 BZB458475:BZB458511 BPF458475:BPF458511 BFJ458475:BFJ458511 AVN458475:AVN458511 ALR458475:ALR458511 ABV458475:ABV458511 RZ458475:RZ458511 ID458475:ID458511 WUP392939:WUP392975 WKT392939:WKT392975 WAX392939:WAX392975 VRB392939:VRB392975 VHF392939:VHF392975 UXJ392939:UXJ392975 UNN392939:UNN392975 UDR392939:UDR392975 TTV392939:TTV392975 TJZ392939:TJZ392975 TAD392939:TAD392975 SQH392939:SQH392975 SGL392939:SGL392975 RWP392939:RWP392975 RMT392939:RMT392975 RCX392939:RCX392975 QTB392939:QTB392975 QJF392939:QJF392975 PZJ392939:PZJ392975 PPN392939:PPN392975 PFR392939:PFR392975 OVV392939:OVV392975 OLZ392939:OLZ392975 OCD392939:OCD392975 NSH392939:NSH392975 NIL392939:NIL392975 MYP392939:MYP392975 MOT392939:MOT392975 MEX392939:MEX392975 LVB392939:LVB392975 LLF392939:LLF392975 LBJ392939:LBJ392975 KRN392939:KRN392975 KHR392939:KHR392975 JXV392939:JXV392975 JNZ392939:JNZ392975 JED392939:JED392975 IUH392939:IUH392975 IKL392939:IKL392975 IAP392939:IAP392975 HQT392939:HQT392975 HGX392939:HGX392975 GXB392939:GXB392975 GNF392939:GNF392975 GDJ392939:GDJ392975 FTN392939:FTN392975 FJR392939:FJR392975 EZV392939:EZV392975 EPZ392939:EPZ392975 EGD392939:EGD392975 DWH392939:DWH392975 DML392939:DML392975 DCP392939:DCP392975 CST392939:CST392975 CIX392939:CIX392975 BZB392939:BZB392975 BPF392939:BPF392975 BFJ392939:BFJ392975 AVN392939:AVN392975 ALR392939:ALR392975 ABV392939:ABV392975 RZ392939:RZ392975 ID392939:ID392975 WUP327403:WUP327439 WKT327403:WKT327439 WAX327403:WAX327439 VRB327403:VRB327439 VHF327403:VHF327439 UXJ327403:UXJ327439 UNN327403:UNN327439 UDR327403:UDR327439 TTV327403:TTV327439 TJZ327403:TJZ327439 TAD327403:TAD327439 SQH327403:SQH327439 SGL327403:SGL327439 RWP327403:RWP327439 RMT327403:RMT327439 RCX327403:RCX327439 QTB327403:QTB327439 QJF327403:QJF327439 PZJ327403:PZJ327439 PPN327403:PPN327439 PFR327403:PFR327439 OVV327403:OVV327439 OLZ327403:OLZ327439 OCD327403:OCD327439 NSH327403:NSH327439 NIL327403:NIL327439 MYP327403:MYP327439 MOT327403:MOT327439 MEX327403:MEX327439 LVB327403:LVB327439 LLF327403:LLF327439 LBJ327403:LBJ327439 KRN327403:KRN327439 KHR327403:KHR327439 JXV327403:JXV327439 JNZ327403:JNZ327439 JED327403:JED327439 IUH327403:IUH327439 IKL327403:IKL327439 IAP327403:IAP327439 HQT327403:HQT327439 HGX327403:HGX327439 GXB327403:GXB327439 GNF327403:GNF327439 GDJ327403:GDJ327439 FTN327403:FTN327439 FJR327403:FJR327439 EZV327403:EZV327439 EPZ327403:EPZ327439 EGD327403:EGD327439 DWH327403:DWH327439 DML327403:DML327439 DCP327403:DCP327439 CST327403:CST327439 CIX327403:CIX327439 BZB327403:BZB327439 BPF327403:BPF327439 BFJ327403:BFJ327439 AVN327403:AVN327439 ALR327403:ALR327439 ABV327403:ABV327439 RZ327403:RZ327439 ID327403:ID327439 WUP261867:WUP261903 WKT261867:WKT261903 WAX261867:WAX261903 VRB261867:VRB261903 VHF261867:VHF261903 UXJ261867:UXJ261903 UNN261867:UNN261903 UDR261867:UDR261903 TTV261867:TTV261903 TJZ261867:TJZ261903 TAD261867:TAD261903 SQH261867:SQH261903 SGL261867:SGL261903 RWP261867:RWP261903 RMT261867:RMT261903 RCX261867:RCX261903 QTB261867:QTB261903 QJF261867:QJF261903 PZJ261867:PZJ261903 PPN261867:PPN261903 PFR261867:PFR261903 OVV261867:OVV261903 OLZ261867:OLZ261903 OCD261867:OCD261903 NSH261867:NSH261903 NIL261867:NIL261903 MYP261867:MYP261903 MOT261867:MOT261903 MEX261867:MEX261903 LVB261867:LVB261903 LLF261867:LLF261903 LBJ261867:LBJ261903 KRN261867:KRN261903 KHR261867:KHR261903 JXV261867:JXV261903 JNZ261867:JNZ261903 JED261867:JED261903 IUH261867:IUH261903 IKL261867:IKL261903 IAP261867:IAP261903 HQT261867:HQT261903 HGX261867:HGX261903 GXB261867:GXB261903 GNF261867:GNF261903 GDJ261867:GDJ261903 FTN261867:FTN261903 FJR261867:FJR261903 EZV261867:EZV261903 EPZ261867:EPZ261903 EGD261867:EGD261903 DWH261867:DWH261903 DML261867:DML261903 DCP261867:DCP261903 CST261867:CST261903 CIX261867:CIX261903 BZB261867:BZB261903 BPF261867:BPF261903 BFJ261867:BFJ261903 AVN261867:AVN261903 ALR261867:ALR261903 ABV261867:ABV261903 RZ261867:RZ261903 ID261867:ID261903 WUP196331:WUP196367 WKT196331:WKT196367 WAX196331:WAX196367 VRB196331:VRB196367 VHF196331:VHF196367 UXJ196331:UXJ196367 UNN196331:UNN196367 UDR196331:UDR196367 TTV196331:TTV196367 TJZ196331:TJZ196367 TAD196331:TAD196367 SQH196331:SQH196367 SGL196331:SGL196367 RWP196331:RWP196367 RMT196331:RMT196367 RCX196331:RCX196367 QTB196331:QTB196367 QJF196331:QJF196367 PZJ196331:PZJ196367 PPN196331:PPN196367 PFR196331:PFR196367 OVV196331:OVV196367 OLZ196331:OLZ196367 OCD196331:OCD196367 NSH196331:NSH196367 NIL196331:NIL196367 MYP196331:MYP196367 MOT196331:MOT196367 MEX196331:MEX196367 LVB196331:LVB196367 LLF196331:LLF196367 LBJ196331:LBJ196367 KRN196331:KRN196367 KHR196331:KHR196367 JXV196331:JXV196367 JNZ196331:JNZ196367 JED196331:JED196367 IUH196331:IUH196367 IKL196331:IKL196367 IAP196331:IAP196367 HQT196331:HQT196367 HGX196331:HGX196367 GXB196331:GXB196367 GNF196331:GNF196367 GDJ196331:GDJ196367 FTN196331:FTN196367 FJR196331:FJR196367 EZV196331:EZV196367 EPZ196331:EPZ196367 EGD196331:EGD196367 DWH196331:DWH196367 DML196331:DML196367 DCP196331:DCP196367 CST196331:CST196367 CIX196331:CIX196367 BZB196331:BZB196367 BPF196331:BPF196367 BFJ196331:BFJ196367 AVN196331:AVN196367 ALR196331:ALR196367 ABV196331:ABV196367 RZ196331:RZ196367 ID196331:ID196367 WUP130795:WUP130831 WKT130795:WKT130831 WAX130795:WAX130831 VRB130795:VRB130831 VHF130795:VHF130831 UXJ130795:UXJ130831 UNN130795:UNN130831 UDR130795:UDR130831 TTV130795:TTV130831 TJZ130795:TJZ130831 TAD130795:TAD130831 SQH130795:SQH130831 SGL130795:SGL130831 RWP130795:RWP130831 RMT130795:RMT130831 RCX130795:RCX130831 QTB130795:QTB130831 QJF130795:QJF130831 PZJ130795:PZJ130831 PPN130795:PPN130831 PFR130795:PFR130831 OVV130795:OVV130831 OLZ130795:OLZ130831 OCD130795:OCD130831 NSH130795:NSH130831 NIL130795:NIL130831 MYP130795:MYP130831 MOT130795:MOT130831 MEX130795:MEX130831 LVB130795:LVB130831 LLF130795:LLF130831 LBJ130795:LBJ130831 KRN130795:KRN130831 KHR130795:KHR130831 JXV130795:JXV130831 JNZ130795:JNZ130831 JED130795:JED130831 IUH130795:IUH130831 IKL130795:IKL130831 IAP130795:IAP130831 HQT130795:HQT130831 HGX130795:HGX130831 GXB130795:GXB130831 GNF130795:GNF130831 GDJ130795:GDJ130831 FTN130795:FTN130831 FJR130795:FJR130831 EZV130795:EZV130831 EPZ130795:EPZ130831 EGD130795:EGD130831 DWH130795:DWH130831 DML130795:DML130831 DCP130795:DCP130831 CST130795:CST130831 CIX130795:CIX130831 BZB130795:BZB130831 BPF130795:BPF130831 BFJ130795:BFJ130831 AVN130795:AVN130831 ALR130795:ALR130831 ABV130795:ABV130831 RZ130795:RZ130831 ID130795:ID130831 WUP65259:WUP65295 WKT65259:WKT65295 WAX65259:WAX65295 VRB65259:VRB65295 VHF65259:VHF65295 UXJ65259:UXJ65295 UNN65259:UNN65295 UDR65259:UDR65295 TTV65259:TTV65295 TJZ65259:TJZ65295 TAD65259:TAD65295 SQH65259:SQH65295 SGL65259:SGL65295 RWP65259:RWP65295 RMT65259:RMT65295 RCX65259:RCX65295 QTB65259:QTB65295 QJF65259:QJF65295 PZJ65259:PZJ65295 PPN65259:PPN65295 PFR65259:PFR65295 OVV65259:OVV65295 OLZ65259:OLZ65295 OCD65259:OCD65295 NSH65259:NSH65295 NIL65259:NIL65295 MYP65259:MYP65295 MOT65259:MOT65295 MEX65259:MEX65295 LVB65259:LVB65295 LLF65259:LLF65295 LBJ65259:LBJ65295 KRN65259:KRN65295 KHR65259:KHR65295 JXV65259:JXV65295 JNZ65259:JNZ65295 JED65259:JED65295 IUH65259:IUH65295 IKL65259:IKL65295 IAP65259:IAP65295 HQT65259:HQT65295 HGX65259:HGX65295 GXB65259:GXB65295 GNF65259:GNF65295 GDJ65259:GDJ65295 FTN65259:FTN65295 FJR65259:FJR65295 EZV65259:EZV65295 EPZ65259:EPZ65295 EGD65259:EGD65295 DWH65259:DWH65295 DML65259:DML65295 DCP65259:DCP65295 CST65259:CST65295 CIX65259:CIX65295 BZB65259:BZB65295 BPF65259:BPF65295 BFJ65259:BFJ65295 AVN65259:AVN65295 ALR65259:ALR65295 ABV65259:ABV65295 RZ65259:RZ65295 ID65259:ID65295 WVC982837 WLG982837 WBK982837 VRO982837 VHS982837 UXW982837 UOA982837 UEE982837 TUI982837 TKM982837 TAQ982837 SQU982837 SGY982837 RXC982837 RNG982837 RDK982837 QTO982837 QJS982837 PZW982837 PQA982837 PGE982837 OWI982837 OMM982837 OCQ982837 NSU982837 NIY982837 MZC982837 MPG982837 MFK982837 LVO982837 LLS982837 LBW982837 KSA982837 KIE982837 JYI982837 JOM982837 JEQ982837 IUU982837 IKY982837 IBC982837 HRG982837 HHK982837 GXO982837 GNS982837 GDW982837 FUA982837 FKE982837 FAI982837 EQM982837 EGQ982837 DWU982837 DMY982837 DDC982837 CTG982837 CJK982837 BZO982837 BPS982837 BFW982837 AWA982837 AME982837 ACI982837 SM982837 IQ982837 WVC917301 WLG917301 WBK917301 VRO917301 VHS917301 UXW917301 UOA917301 UEE917301 TUI917301 TKM917301 TAQ917301 SQU917301 SGY917301 RXC917301 RNG917301 RDK917301 QTO917301 QJS917301 PZW917301 PQA917301 PGE917301 OWI917301 OMM917301 OCQ917301 NSU917301 NIY917301 MZC917301 MPG917301 MFK917301 LVO917301 LLS917301 LBW917301 KSA917301 KIE917301 JYI917301 JOM917301 JEQ917301 IUU917301 IKY917301 IBC917301 HRG917301 HHK917301 GXO917301 GNS917301 GDW917301 FUA917301 FKE917301 FAI917301 EQM917301 EGQ917301 DWU917301 DMY917301 DDC917301 CTG917301 CJK917301 BZO917301 BPS917301 BFW917301 AWA917301 AME917301 ACI917301 SM917301 IQ917301 WVC851765 WLG851765 WBK851765 VRO851765 VHS851765 UXW851765 UOA851765 UEE851765 TUI851765 TKM851765 TAQ851765 SQU851765 SGY851765 RXC851765 RNG851765 RDK851765 QTO851765 QJS851765 PZW851765 PQA851765 PGE851765 OWI851765 OMM851765 OCQ851765 NSU851765 NIY851765 MZC851765 MPG851765 MFK851765 LVO851765 LLS851765 LBW851765 KSA851765 KIE851765 JYI851765 JOM851765 JEQ851765 IUU851765 IKY851765 IBC851765 HRG851765 HHK851765 GXO851765 GNS851765 GDW851765 FUA851765 FKE851765 FAI851765 EQM851765 EGQ851765 DWU851765 DMY851765 DDC851765 CTG851765 CJK851765 BZO851765 BPS851765 BFW851765 AWA851765 AME851765 ACI851765 SM851765 IQ851765 WVC786229 WLG786229 WBK786229 VRO786229 VHS786229 UXW786229 UOA786229 UEE786229 TUI786229 TKM786229 TAQ786229 SQU786229 SGY786229 RXC786229 RNG786229 RDK786229 QTO786229 QJS786229 PZW786229 PQA786229 PGE786229 OWI786229 OMM786229 OCQ786229 NSU786229 NIY786229 MZC786229 MPG786229 MFK786229 LVO786229 LLS786229 LBW786229 KSA786229 KIE786229 JYI786229 JOM786229 JEQ786229 IUU786229 IKY786229 IBC786229 HRG786229 HHK786229 GXO786229 GNS786229 GDW786229 FUA786229 FKE786229 FAI786229 EQM786229 EGQ786229 DWU786229 DMY786229 DDC786229 CTG786229 CJK786229 BZO786229 BPS786229 BFW786229 AWA786229 AME786229 ACI786229 SM786229 IQ786229 WVC720693 WLG720693 WBK720693 VRO720693 VHS720693 UXW720693 UOA720693 UEE720693 TUI720693 TKM720693 TAQ720693 SQU720693 SGY720693 RXC720693 RNG720693 RDK720693 QTO720693 QJS720693 PZW720693 PQA720693 PGE720693 OWI720693 OMM720693 OCQ720693 NSU720693 NIY720693 MZC720693 MPG720693 MFK720693 LVO720693 LLS720693 LBW720693 KSA720693 KIE720693 JYI720693 JOM720693 JEQ720693 IUU720693 IKY720693 IBC720693 HRG720693 HHK720693 GXO720693 GNS720693 GDW720693 FUA720693 FKE720693 FAI720693 EQM720693 EGQ720693 DWU720693 DMY720693 DDC720693 CTG720693 CJK720693 BZO720693 BPS720693 BFW720693 AWA720693 AME720693 ACI720693 SM720693 IQ720693 WVC655157 WLG655157 WBK655157 VRO655157 VHS655157 UXW655157 UOA655157 UEE655157 TUI655157 TKM655157 TAQ655157 SQU655157 SGY655157 RXC655157 RNG655157 RDK655157 QTO655157 QJS655157 PZW655157 PQA655157 PGE655157 OWI655157 OMM655157 OCQ655157 NSU655157 NIY655157 MZC655157 MPG655157 MFK655157 LVO655157 LLS655157 LBW655157 KSA655157 KIE655157 JYI655157 JOM655157 JEQ655157 IUU655157 IKY655157 IBC655157 HRG655157 HHK655157 GXO655157 GNS655157 GDW655157 FUA655157 FKE655157 FAI655157 EQM655157 EGQ655157 DWU655157 DMY655157 DDC655157 CTG655157 CJK655157 BZO655157 BPS655157 BFW655157 AWA655157 AME655157 ACI655157 SM655157 IQ655157 WVC589621 WLG589621 WBK589621 VRO589621 VHS589621 UXW589621 UOA589621 UEE589621 TUI589621 TKM589621 TAQ589621 SQU589621 SGY589621 RXC589621 RNG589621 RDK589621 QTO589621 QJS589621 PZW589621 PQA589621 PGE589621 OWI589621 OMM589621 OCQ589621 NSU589621 NIY589621 MZC589621 MPG589621 MFK589621 LVO589621 LLS589621 LBW589621 KSA589621 KIE589621 JYI589621 JOM589621 JEQ589621 IUU589621 IKY589621 IBC589621 HRG589621 HHK589621 GXO589621 GNS589621 GDW589621 FUA589621 FKE589621 FAI589621 EQM589621 EGQ589621 DWU589621 DMY589621 DDC589621 CTG589621 CJK589621 BZO589621 BPS589621 BFW589621 AWA589621 AME589621 ACI589621 SM589621 IQ589621 WVC524085 WLG524085 WBK524085 VRO524085 VHS524085 UXW524085 UOA524085 UEE524085 TUI524085 TKM524085 TAQ524085 SQU524085 SGY524085 RXC524085 RNG524085 RDK524085 QTO524085 QJS524085 PZW524085 PQA524085 PGE524085 OWI524085 OMM524085 OCQ524085 NSU524085 NIY524085 MZC524085 MPG524085 MFK524085 LVO524085 LLS524085 LBW524085 KSA524085 KIE524085 JYI524085 JOM524085 JEQ524085 IUU524085 IKY524085 IBC524085 HRG524085 HHK524085 GXO524085 GNS524085 GDW524085 FUA524085 FKE524085 FAI524085 EQM524085 EGQ524085 DWU524085 DMY524085 DDC524085 CTG524085 CJK524085 BZO524085 BPS524085 BFW524085 AWA524085 AME524085 ACI524085 SM524085 IQ524085 WVC458549 WLG458549 WBK458549 VRO458549 VHS458549 UXW458549 UOA458549 UEE458549 TUI458549 TKM458549 TAQ458549 SQU458549 SGY458549 RXC458549 RNG458549 RDK458549 QTO458549 QJS458549 PZW458549 PQA458549 PGE458549 OWI458549 OMM458549 OCQ458549 NSU458549 NIY458549 MZC458549 MPG458549 MFK458549 LVO458549 LLS458549 LBW458549 KSA458549 KIE458549 JYI458549 JOM458549 JEQ458549 IUU458549 IKY458549 IBC458549 HRG458549 HHK458549 GXO458549 GNS458549 GDW458549 FUA458549 FKE458549 FAI458549 EQM458549 EGQ458549 DWU458549 DMY458549 DDC458549 CTG458549 CJK458549 BZO458549 BPS458549 BFW458549 AWA458549 AME458549 ACI458549 SM458549 IQ458549 WVC393013 WLG393013 WBK393013 VRO393013 VHS393013 UXW393013 UOA393013 UEE393013 TUI393013 TKM393013 TAQ393013 SQU393013 SGY393013 RXC393013 RNG393013 RDK393013 QTO393013 QJS393013 PZW393013 PQA393013 PGE393013 OWI393013 OMM393013 OCQ393013 NSU393013 NIY393013 MZC393013 MPG393013 MFK393013 LVO393013 LLS393013 LBW393013 KSA393013 KIE393013 JYI393013 JOM393013 JEQ393013 IUU393013 IKY393013 IBC393013 HRG393013 HHK393013 GXO393013 GNS393013 GDW393013 FUA393013 FKE393013 FAI393013 EQM393013 EGQ393013 DWU393013 DMY393013 DDC393013 CTG393013 CJK393013 BZO393013 BPS393013 BFW393013 AWA393013 AME393013 ACI393013 SM393013 IQ393013 WVC327477 WLG327477 WBK327477 VRO327477 VHS327477 UXW327477 UOA327477 UEE327477 TUI327477 TKM327477 TAQ327477 SQU327477 SGY327477 RXC327477 RNG327477 RDK327477 QTO327477 QJS327477 PZW327477 PQA327477 PGE327477 OWI327477 OMM327477 OCQ327477 NSU327477 NIY327477 MZC327477 MPG327477 MFK327477 LVO327477 LLS327477 LBW327477 KSA327477 KIE327477 JYI327477 JOM327477 JEQ327477 IUU327477 IKY327477 IBC327477 HRG327477 HHK327477 GXO327477 GNS327477 GDW327477 FUA327477 FKE327477 FAI327477 EQM327477 EGQ327477 DWU327477 DMY327477 DDC327477 CTG327477 CJK327477 BZO327477 BPS327477 BFW327477 AWA327477 AME327477 ACI327477 SM327477 IQ327477 WVC261941 WLG261941 WBK261941 VRO261941 VHS261941 UXW261941 UOA261941 UEE261941 TUI261941 TKM261941 TAQ261941 SQU261941 SGY261941 RXC261941 RNG261941 RDK261941 QTO261941 QJS261941 PZW261941 PQA261941 PGE261941 OWI261941 OMM261941 OCQ261941 NSU261941 NIY261941 MZC261941 MPG261941 MFK261941 LVO261941 LLS261941 LBW261941 KSA261941 KIE261941 JYI261941 JOM261941 JEQ261941 IUU261941 IKY261941 IBC261941 HRG261941 HHK261941 GXO261941 GNS261941 GDW261941 FUA261941 FKE261941 FAI261941 EQM261941 EGQ261941 DWU261941 DMY261941 DDC261941 CTG261941 CJK261941 BZO261941 BPS261941 BFW261941 AWA261941 AME261941 ACI261941 SM261941 IQ261941 WVC196405 WLG196405 WBK196405 VRO196405 VHS196405 UXW196405 UOA196405 UEE196405 TUI196405 TKM196405 TAQ196405 SQU196405 SGY196405 RXC196405 RNG196405 RDK196405 QTO196405 QJS196405 PZW196405 PQA196405 PGE196405 OWI196405 OMM196405 OCQ196405 NSU196405 NIY196405 MZC196405 MPG196405 MFK196405 LVO196405 LLS196405 LBW196405 KSA196405 KIE196405 JYI196405 JOM196405 JEQ196405 IUU196405 IKY196405 IBC196405 HRG196405 HHK196405 GXO196405 GNS196405 GDW196405 FUA196405 FKE196405 FAI196405 EQM196405 EGQ196405 DWU196405 DMY196405 DDC196405 CTG196405 CJK196405 BZO196405 BPS196405 BFW196405 AWA196405 AME196405 ACI196405 SM196405 IQ196405 WVC130869 WLG130869 WBK130869 VRO130869 VHS130869 UXW130869 UOA130869 UEE130869 TUI130869 TKM130869 TAQ130869 SQU130869 SGY130869 RXC130869 RNG130869 RDK130869 QTO130869 QJS130869 PZW130869 PQA130869 PGE130869 OWI130869 OMM130869 OCQ130869 NSU130869 NIY130869 MZC130869 MPG130869 MFK130869 LVO130869 LLS130869 LBW130869 KSA130869 KIE130869 JYI130869 JOM130869 JEQ130869 IUU130869 IKY130869 IBC130869 HRG130869 HHK130869 GXO130869 GNS130869 GDW130869 FUA130869 FKE130869 FAI130869 EQM130869 EGQ130869 DWU130869 DMY130869 DDC130869 CTG130869 CJK130869 BZO130869 BPS130869 BFW130869 AWA130869 AME130869 ACI130869 SM130869 IQ130869 WVC65333 WLG65333 WBK65333 VRO65333 VHS65333 UXW65333 UOA65333 UEE65333 TUI65333 TKM65333 TAQ65333 SQU65333 SGY65333 RXC65333 RNG65333 RDK65333 QTO65333 QJS65333 PZW65333 PQA65333 PGE65333 OWI65333 OMM65333 OCQ65333 NSU65333 NIY65333 MZC65333 MPG65333 MFK65333 LVO65333 LLS65333 LBW65333 KSA65333 KIE65333 JYI65333 JOM65333 JEQ65333 IUU65333 IKY65333 IBC65333 HRG65333 HHK65333 GXO65333 GNS65333 GDW65333 FUA65333 FKE65333 FAI65333 EQM65333 EGQ65333 DWU65333 DMY65333 DDC65333 CTG65333 CJK65333 BZO65333 BPS65333 BFW65333 AWA65333 AME65333 ACI65333 SM65333 IQ65333 WVJ982857:WVJ982866 WLN982857:WLN982866 WBR982857:WBR982866 VRV982857:VRV982866 VHZ982857:VHZ982866 UYD982857:UYD982866 UOH982857:UOH982866 UEL982857:UEL982866 TUP982857:TUP982866 TKT982857:TKT982866 TAX982857:TAX982866 SRB982857:SRB982866 SHF982857:SHF982866 RXJ982857:RXJ982866 RNN982857:RNN982866 RDR982857:RDR982866 QTV982857:QTV982866 QJZ982857:QJZ982866 QAD982857:QAD982866 PQH982857:PQH982866 PGL982857:PGL982866 OWP982857:OWP982866 OMT982857:OMT982866 OCX982857:OCX982866 NTB982857:NTB982866 NJF982857:NJF982866 MZJ982857:MZJ982866 MPN982857:MPN982866 MFR982857:MFR982866 LVV982857:LVV982866 LLZ982857:LLZ982866 LCD982857:LCD982866 KSH982857:KSH982866 KIL982857:KIL982866 JYP982857:JYP982866 JOT982857:JOT982866 JEX982857:JEX982866 IVB982857:IVB982866 ILF982857:ILF982866 IBJ982857:IBJ982866 HRN982857:HRN982866 HHR982857:HHR982866 GXV982857:GXV982866 GNZ982857:GNZ982866 GED982857:GED982866 FUH982857:FUH982866 FKL982857:FKL982866 FAP982857:FAP982866 EQT982857:EQT982866 EGX982857:EGX982866 DXB982857:DXB982866 DNF982857:DNF982866 DDJ982857:DDJ982866 CTN982857:CTN982866 CJR982857:CJR982866 BZV982857:BZV982866 BPZ982857:BPZ982866 BGD982857:BGD982866 AWH982857:AWH982866 AML982857:AML982866 ACP982857:ACP982866 ST982857:ST982866 IX982857:IX982866 WVJ917321:WVJ917330 WLN917321:WLN917330 WBR917321:WBR917330 VRV917321:VRV917330 VHZ917321:VHZ917330 UYD917321:UYD917330 UOH917321:UOH917330 UEL917321:UEL917330 TUP917321:TUP917330 TKT917321:TKT917330 TAX917321:TAX917330 SRB917321:SRB917330 SHF917321:SHF917330 RXJ917321:RXJ917330 RNN917321:RNN917330 RDR917321:RDR917330 QTV917321:QTV917330 QJZ917321:QJZ917330 QAD917321:QAD917330 PQH917321:PQH917330 PGL917321:PGL917330 OWP917321:OWP917330 OMT917321:OMT917330 OCX917321:OCX917330 NTB917321:NTB917330 NJF917321:NJF917330 MZJ917321:MZJ917330 MPN917321:MPN917330 MFR917321:MFR917330 LVV917321:LVV917330 LLZ917321:LLZ917330 LCD917321:LCD917330 KSH917321:KSH917330 KIL917321:KIL917330 JYP917321:JYP917330 JOT917321:JOT917330 JEX917321:JEX917330 IVB917321:IVB917330 ILF917321:ILF917330 IBJ917321:IBJ917330 HRN917321:HRN917330 HHR917321:HHR917330 GXV917321:GXV917330 GNZ917321:GNZ917330 GED917321:GED917330 FUH917321:FUH917330 FKL917321:FKL917330 FAP917321:FAP917330 EQT917321:EQT917330 EGX917321:EGX917330 DXB917321:DXB917330 DNF917321:DNF917330 DDJ917321:DDJ917330 CTN917321:CTN917330 CJR917321:CJR917330 BZV917321:BZV917330 BPZ917321:BPZ917330 BGD917321:BGD917330 AWH917321:AWH917330 AML917321:AML917330 ACP917321:ACP917330 ST917321:ST917330 IX917321:IX917330 WVJ851785:WVJ851794 WLN851785:WLN851794 WBR851785:WBR851794 VRV851785:VRV851794 VHZ851785:VHZ851794 UYD851785:UYD851794 UOH851785:UOH851794 UEL851785:UEL851794 TUP851785:TUP851794 TKT851785:TKT851794 TAX851785:TAX851794 SRB851785:SRB851794 SHF851785:SHF851794 RXJ851785:RXJ851794 RNN851785:RNN851794 RDR851785:RDR851794 QTV851785:QTV851794 QJZ851785:QJZ851794 QAD851785:QAD851794 PQH851785:PQH851794 PGL851785:PGL851794 OWP851785:OWP851794 OMT851785:OMT851794 OCX851785:OCX851794 NTB851785:NTB851794 NJF851785:NJF851794 MZJ851785:MZJ851794 MPN851785:MPN851794 MFR851785:MFR851794 LVV851785:LVV851794 LLZ851785:LLZ851794 LCD851785:LCD851794 KSH851785:KSH851794 KIL851785:KIL851794 JYP851785:JYP851794 JOT851785:JOT851794 JEX851785:JEX851794 IVB851785:IVB851794 ILF851785:ILF851794 IBJ851785:IBJ851794 HRN851785:HRN851794 HHR851785:HHR851794 GXV851785:GXV851794 GNZ851785:GNZ851794 GED851785:GED851794 FUH851785:FUH851794 FKL851785:FKL851794 FAP851785:FAP851794 EQT851785:EQT851794 EGX851785:EGX851794 DXB851785:DXB851794 DNF851785:DNF851794 DDJ851785:DDJ851794 CTN851785:CTN851794 CJR851785:CJR851794 BZV851785:BZV851794 BPZ851785:BPZ851794 BGD851785:BGD851794 AWH851785:AWH851794 AML851785:AML851794 ACP851785:ACP851794 ST851785:ST851794 IX851785:IX851794 WVJ786249:WVJ786258 WLN786249:WLN786258 WBR786249:WBR786258 VRV786249:VRV786258 VHZ786249:VHZ786258 UYD786249:UYD786258 UOH786249:UOH786258 UEL786249:UEL786258 TUP786249:TUP786258 TKT786249:TKT786258 TAX786249:TAX786258 SRB786249:SRB786258 SHF786249:SHF786258 RXJ786249:RXJ786258 RNN786249:RNN786258 RDR786249:RDR786258 QTV786249:QTV786258 QJZ786249:QJZ786258 QAD786249:QAD786258 PQH786249:PQH786258 PGL786249:PGL786258 OWP786249:OWP786258 OMT786249:OMT786258 OCX786249:OCX786258 NTB786249:NTB786258 NJF786249:NJF786258 MZJ786249:MZJ786258 MPN786249:MPN786258 MFR786249:MFR786258 LVV786249:LVV786258 LLZ786249:LLZ786258 LCD786249:LCD786258 KSH786249:KSH786258 KIL786249:KIL786258 JYP786249:JYP786258 JOT786249:JOT786258 JEX786249:JEX786258 IVB786249:IVB786258 ILF786249:ILF786258 IBJ786249:IBJ786258 HRN786249:HRN786258 HHR786249:HHR786258 GXV786249:GXV786258 GNZ786249:GNZ786258 GED786249:GED786258 FUH786249:FUH786258 FKL786249:FKL786258 FAP786249:FAP786258 EQT786249:EQT786258 EGX786249:EGX786258 DXB786249:DXB786258 DNF786249:DNF786258 DDJ786249:DDJ786258 CTN786249:CTN786258 CJR786249:CJR786258 BZV786249:BZV786258 BPZ786249:BPZ786258 BGD786249:BGD786258 AWH786249:AWH786258 AML786249:AML786258 ACP786249:ACP786258 ST786249:ST786258 IX786249:IX786258 WVJ720713:WVJ720722 WLN720713:WLN720722 WBR720713:WBR720722 VRV720713:VRV720722 VHZ720713:VHZ720722 UYD720713:UYD720722 UOH720713:UOH720722 UEL720713:UEL720722 TUP720713:TUP720722 TKT720713:TKT720722 TAX720713:TAX720722 SRB720713:SRB720722 SHF720713:SHF720722 RXJ720713:RXJ720722 RNN720713:RNN720722 RDR720713:RDR720722 QTV720713:QTV720722 QJZ720713:QJZ720722 QAD720713:QAD720722 PQH720713:PQH720722 PGL720713:PGL720722 OWP720713:OWP720722 OMT720713:OMT720722 OCX720713:OCX720722 NTB720713:NTB720722 NJF720713:NJF720722 MZJ720713:MZJ720722 MPN720713:MPN720722 MFR720713:MFR720722 LVV720713:LVV720722 LLZ720713:LLZ720722 LCD720713:LCD720722 KSH720713:KSH720722 KIL720713:KIL720722 JYP720713:JYP720722 JOT720713:JOT720722 JEX720713:JEX720722 IVB720713:IVB720722 ILF720713:ILF720722 IBJ720713:IBJ720722 HRN720713:HRN720722 HHR720713:HHR720722 GXV720713:GXV720722 GNZ720713:GNZ720722 GED720713:GED720722 FUH720713:FUH720722 FKL720713:FKL720722 FAP720713:FAP720722 EQT720713:EQT720722 EGX720713:EGX720722 DXB720713:DXB720722 DNF720713:DNF720722 DDJ720713:DDJ720722 CTN720713:CTN720722 CJR720713:CJR720722 BZV720713:BZV720722 BPZ720713:BPZ720722 BGD720713:BGD720722 AWH720713:AWH720722 AML720713:AML720722 ACP720713:ACP720722 ST720713:ST720722 IX720713:IX720722 WVJ655177:WVJ655186 WLN655177:WLN655186 WBR655177:WBR655186 VRV655177:VRV655186 VHZ655177:VHZ655186 UYD655177:UYD655186 UOH655177:UOH655186 UEL655177:UEL655186 TUP655177:TUP655186 TKT655177:TKT655186 TAX655177:TAX655186 SRB655177:SRB655186 SHF655177:SHF655186 RXJ655177:RXJ655186 RNN655177:RNN655186 RDR655177:RDR655186 QTV655177:QTV655186 QJZ655177:QJZ655186 QAD655177:QAD655186 PQH655177:PQH655186 PGL655177:PGL655186 OWP655177:OWP655186 OMT655177:OMT655186 OCX655177:OCX655186 NTB655177:NTB655186 NJF655177:NJF655186 MZJ655177:MZJ655186 MPN655177:MPN655186 MFR655177:MFR655186 LVV655177:LVV655186 LLZ655177:LLZ655186 LCD655177:LCD655186 KSH655177:KSH655186 KIL655177:KIL655186 JYP655177:JYP655186 JOT655177:JOT655186 JEX655177:JEX655186 IVB655177:IVB655186 ILF655177:ILF655186 IBJ655177:IBJ655186 HRN655177:HRN655186 HHR655177:HHR655186 GXV655177:GXV655186 GNZ655177:GNZ655186 GED655177:GED655186 FUH655177:FUH655186 FKL655177:FKL655186 FAP655177:FAP655186 EQT655177:EQT655186 EGX655177:EGX655186 DXB655177:DXB655186 DNF655177:DNF655186 DDJ655177:DDJ655186 CTN655177:CTN655186 CJR655177:CJR655186 BZV655177:BZV655186 BPZ655177:BPZ655186 BGD655177:BGD655186 AWH655177:AWH655186 AML655177:AML655186 ACP655177:ACP655186 ST655177:ST655186 IX655177:IX655186 WVJ589641:WVJ589650 WLN589641:WLN589650 WBR589641:WBR589650 VRV589641:VRV589650 VHZ589641:VHZ589650 UYD589641:UYD589650 UOH589641:UOH589650 UEL589641:UEL589650 TUP589641:TUP589650 TKT589641:TKT589650 TAX589641:TAX589650 SRB589641:SRB589650 SHF589641:SHF589650 RXJ589641:RXJ589650 RNN589641:RNN589650 RDR589641:RDR589650 QTV589641:QTV589650 QJZ589641:QJZ589650 QAD589641:QAD589650 PQH589641:PQH589650 PGL589641:PGL589650 OWP589641:OWP589650 OMT589641:OMT589650 OCX589641:OCX589650 NTB589641:NTB589650 NJF589641:NJF589650 MZJ589641:MZJ589650 MPN589641:MPN589650 MFR589641:MFR589650 LVV589641:LVV589650 LLZ589641:LLZ589650 LCD589641:LCD589650 KSH589641:KSH589650 KIL589641:KIL589650 JYP589641:JYP589650 JOT589641:JOT589650 JEX589641:JEX589650 IVB589641:IVB589650 ILF589641:ILF589650 IBJ589641:IBJ589650 HRN589641:HRN589650 HHR589641:HHR589650 GXV589641:GXV589650 GNZ589641:GNZ589650 GED589641:GED589650 FUH589641:FUH589650 FKL589641:FKL589650 FAP589641:FAP589650 EQT589641:EQT589650 EGX589641:EGX589650 DXB589641:DXB589650 DNF589641:DNF589650 DDJ589641:DDJ589650 CTN589641:CTN589650 CJR589641:CJR589650 BZV589641:BZV589650 BPZ589641:BPZ589650 BGD589641:BGD589650 AWH589641:AWH589650 AML589641:AML589650 ACP589641:ACP589650 ST589641:ST589650 IX589641:IX589650 WVJ524105:WVJ524114 WLN524105:WLN524114 WBR524105:WBR524114 VRV524105:VRV524114 VHZ524105:VHZ524114 UYD524105:UYD524114 UOH524105:UOH524114 UEL524105:UEL524114 TUP524105:TUP524114 TKT524105:TKT524114 TAX524105:TAX524114 SRB524105:SRB524114 SHF524105:SHF524114 RXJ524105:RXJ524114 RNN524105:RNN524114 RDR524105:RDR524114 QTV524105:QTV524114 QJZ524105:QJZ524114 QAD524105:QAD524114 PQH524105:PQH524114 PGL524105:PGL524114 OWP524105:OWP524114 OMT524105:OMT524114 OCX524105:OCX524114 NTB524105:NTB524114 NJF524105:NJF524114 MZJ524105:MZJ524114 MPN524105:MPN524114 MFR524105:MFR524114 LVV524105:LVV524114 LLZ524105:LLZ524114 LCD524105:LCD524114 KSH524105:KSH524114 KIL524105:KIL524114 JYP524105:JYP524114 JOT524105:JOT524114 JEX524105:JEX524114 IVB524105:IVB524114 ILF524105:ILF524114 IBJ524105:IBJ524114 HRN524105:HRN524114 HHR524105:HHR524114 GXV524105:GXV524114 GNZ524105:GNZ524114 GED524105:GED524114 FUH524105:FUH524114 FKL524105:FKL524114 FAP524105:FAP524114 EQT524105:EQT524114 EGX524105:EGX524114 DXB524105:DXB524114 DNF524105:DNF524114 DDJ524105:DDJ524114 CTN524105:CTN524114 CJR524105:CJR524114 BZV524105:BZV524114 BPZ524105:BPZ524114 BGD524105:BGD524114 AWH524105:AWH524114 AML524105:AML524114 ACP524105:ACP524114 ST524105:ST524114 IX524105:IX524114 WVJ458569:WVJ458578 WLN458569:WLN458578 WBR458569:WBR458578 VRV458569:VRV458578 VHZ458569:VHZ458578 UYD458569:UYD458578 UOH458569:UOH458578 UEL458569:UEL458578 TUP458569:TUP458578 TKT458569:TKT458578 TAX458569:TAX458578 SRB458569:SRB458578 SHF458569:SHF458578 RXJ458569:RXJ458578 RNN458569:RNN458578 RDR458569:RDR458578 QTV458569:QTV458578 QJZ458569:QJZ458578 QAD458569:QAD458578 PQH458569:PQH458578 PGL458569:PGL458578 OWP458569:OWP458578 OMT458569:OMT458578 OCX458569:OCX458578 NTB458569:NTB458578 NJF458569:NJF458578 MZJ458569:MZJ458578 MPN458569:MPN458578 MFR458569:MFR458578 LVV458569:LVV458578 LLZ458569:LLZ458578 LCD458569:LCD458578 KSH458569:KSH458578 KIL458569:KIL458578 JYP458569:JYP458578 JOT458569:JOT458578 JEX458569:JEX458578 IVB458569:IVB458578 ILF458569:ILF458578 IBJ458569:IBJ458578 HRN458569:HRN458578 HHR458569:HHR458578 GXV458569:GXV458578 GNZ458569:GNZ458578 GED458569:GED458578 FUH458569:FUH458578 FKL458569:FKL458578 FAP458569:FAP458578 EQT458569:EQT458578 EGX458569:EGX458578 DXB458569:DXB458578 DNF458569:DNF458578 DDJ458569:DDJ458578 CTN458569:CTN458578 CJR458569:CJR458578 BZV458569:BZV458578 BPZ458569:BPZ458578 BGD458569:BGD458578 AWH458569:AWH458578 AML458569:AML458578 ACP458569:ACP458578 ST458569:ST458578 IX458569:IX458578 WVJ393033:WVJ393042 WLN393033:WLN393042 WBR393033:WBR393042 VRV393033:VRV393042 VHZ393033:VHZ393042 UYD393033:UYD393042 UOH393033:UOH393042 UEL393033:UEL393042 TUP393033:TUP393042 TKT393033:TKT393042 TAX393033:TAX393042 SRB393033:SRB393042 SHF393033:SHF393042 RXJ393033:RXJ393042 RNN393033:RNN393042 RDR393033:RDR393042 QTV393033:QTV393042 QJZ393033:QJZ393042 QAD393033:QAD393042 PQH393033:PQH393042 PGL393033:PGL393042 OWP393033:OWP393042 OMT393033:OMT393042 OCX393033:OCX393042 NTB393033:NTB393042 NJF393033:NJF393042 MZJ393033:MZJ393042 MPN393033:MPN393042 MFR393033:MFR393042 LVV393033:LVV393042 LLZ393033:LLZ393042 LCD393033:LCD393042 KSH393033:KSH393042 KIL393033:KIL393042 JYP393033:JYP393042 JOT393033:JOT393042 JEX393033:JEX393042 IVB393033:IVB393042 ILF393033:ILF393042 IBJ393033:IBJ393042 HRN393033:HRN393042 HHR393033:HHR393042 GXV393033:GXV393042 GNZ393033:GNZ393042 GED393033:GED393042 FUH393033:FUH393042 FKL393033:FKL393042 FAP393033:FAP393042 EQT393033:EQT393042 EGX393033:EGX393042 DXB393033:DXB393042 DNF393033:DNF393042 DDJ393033:DDJ393042 CTN393033:CTN393042 CJR393033:CJR393042 BZV393033:BZV393042 BPZ393033:BPZ393042 BGD393033:BGD393042 AWH393033:AWH393042 AML393033:AML393042 ACP393033:ACP393042 ST393033:ST393042 IX393033:IX393042 WVJ327497:WVJ327506 WLN327497:WLN327506 WBR327497:WBR327506 VRV327497:VRV327506 VHZ327497:VHZ327506 UYD327497:UYD327506 UOH327497:UOH327506 UEL327497:UEL327506 TUP327497:TUP327506 TKT327497:TKT327506 TAX327497:TAX327506 SRB327497:SRB327506 SHF327497:SHF327506 RXJ327497:RXJ327506 RNN327497:RNN327506 RDR327497:RDR327506 QTV327497:QTV327506 QJZ327497:QJZ327506 QAD327497:QAD327506 PQH327497:PQH327506 PGL327497:PGL327506 OWP327497:OWP327506 OMT327497:OMT327506 OCX327497:OCX327506 NTB327497:NTB327506 NJF327497:NJF327506 MZJ327497:MZJ327506 MPN327497:MPN327506 MFR327497:MFR327506 LVV327497:LVV327506 LLZ327497:LLZ327506 LCD327497:LCD327506 KSH327497:KSH327506 KIL327497:KIL327506 JYP327497:JYP327506 JOT327497:JOT327506 JEX327497:JEX327506 IVB327497:IVB327506 ILF327497:ILF327506 IBJ327497:IBJ327506 HRN327497:HRN327506 HHR327497:HHR327506 GXV327497:GXV327506 GNZ327497:GNZ327506 GED327497:GED327506 FUH327497:FUH327506 FKL327497:FKL327506 FAP327497:FAP327506 EQT327497:EQT327506 EGX327497:EGX327506 DXB327497:DXB327506 DNF327497:DNF327506 DDJ327497:DDJ327506 CTN327497:CTN327506 CJR327497:CJR327506 BZV327497:BZV327506 BPZ327497:BPZ327506 BGD327497:BGD327506 AWH327497:AWH327506 AML327497:AML327506 ACP327497:ACP327506 ST327497:ST327506 IX327497:IX327506 WVJ261961:WVJ261970 WLN261961:WLN261970 WBR261961:WBR261970 VRV261961:VRV261970 VHZ261961:VHZ261970 UYD261961:UYD261970 UOH261961:UOH261970 UEL261961:UEL261970 TUP261961:TUP261970 TKT261961:TKT261970 TAX261961:TAX261970 SRB261961:SRB261970 SHF261961:SHF261970 RXJ261961:RXJ261970 RNN261961:RNN261970 RDR261961:RDR261970 QTV261961:QTV261970 QJZ261961:QJZ261970 QAD261961:QAD261970 PQH261961:PQH261970 PGL261961:PGL261970 OWP261961:OWP261970 OMT261961:OMT261970 OCX261961:OCX261970 NTB261961:NTB261970 NJF261961:NJF261970 MZJ261961:MZJ261970 MPN261961:MPN261970 MFR261961:MFR261970 LVV261961:LVV261970 LLZ261961:LLZ261970 LCD261961:LCD261970 KSH261961:KSH261970 KIL261961:KIL261970 JYP261961:JYP261970 JOT261961:JOT261970 JEX261961:JEX261970 IVB261961:IVB261970 ILF261961:ILF261970 IBJ261961:IBJ261970 HRN261961:HRN261970 HHR261961:HHR261970 GXV261961:GXV261970 GNZ261961:GNZ261970 GED261961:GED261970 FUH261961:FUH261970 FKL261961:FKL261970 FAP261961:FAP261970 EQT261961:EQT261970 EGX261961:EGX261970 DXB261961:DXB261970 DNF261961:DNF261970 DDJ261961:DDJ261970 CTN261961:CTN261970 CJR261961:CJR261970 BZV261961:BZV261970 BPZ261961:BPZ261970 BGD261961:BGD261970 AWH261961:AWH261970 AML261961:AML261970 ACP261961:ACP261970 ST261961:ST261970 IX261961:IX261970 WVJ196425:WVJ196434 WLN196425:WLN196434 WBR196425:WBR196434 VRV196425:VRV196434 VHZ196425:VHZ196434 UYD196425:UYD196434 UOH196425:UOH196434 UEL196425:UEL196434 TUP196425:TUP196434 TKT196425:TKT196434 TAX196425:TAX196434 SRB196425:SRB196434 SHF196425:SHF196434 RXJ196425:RXJ196434 RNN196425:RNN196434 RDR196425:RDR196434 QTV196425:QTV196434 QJZ196425:QJZ196434 QAD196425:QAD196434 PQH196425:PQH196434 PGL196425:PGL196434 OWP196425:OWP196434 OMT196425:OMT196434 OCX196425:OCX196434 NTB196425:NTB196434 NJF196425:NJF196434 MZJ196425:MZJ196434 MPN196425:MPN196434 MFR196425:MFR196434 LVV196425:LVV196434 LLZ196425:LLZ196434 LCD196425:LCD196434 KSH196425:KSH196434 KIL196425:KIL196434 JYP196425:JYP196434 JOT196425:JOT196434 JEX196425:JEX196434 IVB196425:IVB196434 ILF196425:ILF196434 IBJ196425:IBJ196434 HRN196425:HRN196434 HHR196425:HHR196434 GXV196425:GXV196434 GNZ196425:GNZ196434 GED196425:GED196434 FUH196425:FUH196434 FKL196425:FKL196434 FAP196425:FAP196434 EQT196425:EQT196434 EGX196425:EGX196434 DXB196425:DXB196434 DNF196425:DNF196434 DDJ196425:DDJ196434 CTN196425:CTN196434 CJR196425:CJR196434 BZV196425:BZV196434 BPZ196425:BPZ196434 BGD196425:BGD196434 AWH196425:AWH196434 AML196425:AML196434 ACP196425:ACP196434 ST196425:ST196434 IX196425:IX196434 WVJ130889:WVJ130898 WLN130889:WLN130898 WBR130889:WBR130898 VRV130889:VRV130898 VHZ130889:VHZ130898 UYD130889:UYD130898 UOH130889:UOH130898 UEL130889:UEL130898 TUP130889:TUP130898 TKT130889:TKT130898 TAX130889:TAX130898 SRB130889:SRB130898 SHF130889:SHF130898 RXJ130889:RXJ130898 RNN130889:RNN130898 RDR130889:RDR130898 QTV130889:QTV130898 QJZ130889:QJZ130898 QAD130889:QAD130898 PQH130889:PQH130898 PGL130889:PGL130898 OWP130889:OWP130898 OMT130889:OMT130898 OCX130889:OCX130898 NTB130889:NTB130898 NJF130889:NJF130898 MZJ130889:MZJ130898 MPN130889:MPN130898 MFR130889:MFR130898 LVV130889:LVV130898 LLZ130889:LLZ130898 LCD130889:LCD130898 KSH130889:KSH130898 KIL130889:KIL130898 JYP130889:JYP130898 JOT130889:JOT130898 JEX130889:JEX130898 IVB130889:IVB130898 ILF130889:ILF130898 IBJ130889:IBJ130898 HRN130889:HRN130898 HHR130889:HHR130898 GXV130889:GXV130898 GNZ130889:GNZ130898 GED130889:GED130898 FUH130889:FUH130898 FKL130889:FKL130898 FAP130889:FAP130898 EQT130889:EQT130898 EGX130889:EGX130898 DXB130889:DXB130898 DNF130889:DNF130898 DDJ130889:DDJ130898 CTN130889:CTN130898 CJR130889:CJR130898 BZV130889:BZV130898 BPZ130889:BPZ130898 BGD130889:BGD130898 AWH130889:AWH130898 AML130889:AML130898 ACP130889:ACP130898 ST130889:ST130898 IX130889:IX130898 WVJ65353:WVJ65362 WLN65353:WLN65362 WBR65353:WBR65362 VRV65353:VRV65362 VHZ65353:VHZ65362 UYD65353:UYD65362 UOH65353:UOH65362 UEL65353:UEL65362 TUP65353:TUP65362 TKT65353:TKT65362 TAX65353:TAX65362 SRB65353:SRB65362 SHF65353:SHF65362 RXJ65353:RXJ65362 RNN65353:RNN65362 RDR65353:RDR65362 QTV65353:QTV65362 QJZ65353:QJZ65362 QAD65353:QAD65362 PQH65353:PQH65362 PGL65353:PGL65362 OWP65353:OWP65362 OMT65353:OMT65362 OCX65353:OCX65362 NTB65353:NTB65362 NJF65353:NJF65362 MZJ65353:MZJ65362 MPN65353:MPN65362 MFR65353:MFR65362 LVV65353:LVV65362 LLZ65353:LLZ65362 LCD65353:LCD65362 KSH65353:KSH65362 KIL65353:KIL65362 JYP65353:JYP65362 JOT65353:JOT65362 JEX65353:JEX65362 IVB65353:IVB65362 ILF65353:ILF65362 IBJ65353:IBJ65362 HRN65353:HRN65362 HHR65353:HHR65362 GXV65353:GXV65362 GNZ65353:GNZ65362 GED65353:GED65362 FUH65353:FUH65362 FKL65353:FKL65362 FAP65353:FAP65362 EQT65353:EQT65362 EGX65353:EGX65362 DXB65353:DXB65362 DNF65353:DNF65362 DDJ65353:DDJ65362 CTN65353:CTN65362 CJR65353:CJR65362 BZV65353:BZV65362 BPZ65353:BPZ65362 BGD65353:BGD65362 AWH65353:AWH65362 AML65353:AML65362 ACP65353:ACP65362 ST65353:ST65362 IX65353:IX65362 SQH982763:SQH982799 WVC982808:WVC982810 WLG982808:WLG982810 WBK982808:WBK982810 VRO982808:VRO982810 VHS982808:VHS982810 UXW982808:UXW982810 UOA982808:UOA982810 UEE982808:UEE982810 TUI982808:TUI982810 TKM982808:TKM982810 TAQ982808:TAQ982810 SQU982808:SQU982810 SGY982808:SGY982810 RXC982808:RXC982810 RNG982808:RNG982810 RDK982808:RDK982810 QTO982808:QTO982810 QJS982808:QJS982810 PZW982808:PZW982810 PQA982808:PQA982810 PGE982808:PGE982810 OWI982808:OWI982810 OMM982808:OMM982810 OCQ982808:OCQ982810 NSU982808:NSU982810 NIY982808:NIY982810 MZC982808:MZC982810 MPG982808:MPG982810 MFK982808:MFK982810 LVO982808:LVO982810 LLS982808:LLS982810 LBW982808:LBW982810 KSA982808:KSA982810 KIE982808:KIE982810 JYI982808:JYI982810 JOM982808:JOM982810 JEQ982808:JEQ982810 IUU982808:IUU982810 IKY982808:IKY982810 IBC982808:IBC982810 HRG982808:HRG982810 HHK982808:HHK982810 GXO982808:GXO982810 GNS982808:GNS982810 GDW982808:GDW982810 FUA982808:FUA982810 FKE982808:FKE982810 FAI982808:FAI982810 EQM982808:EQM982810 EGQ982808:EGQ982810 DWU982808:DWU982810 DMY982808:DMY982810 DDC982808:DDC982810 CTG982808:CTG982810 CJK982808:CJK982810 BZO982808:BZO982810 BPS982808:BPS982810 BFW982808:BFW982810 AWA982808:AWA982810 AME982808:AME982810 ACI982808:ACI982810 SM982808:SM982810 IQ982808:IQ982810 WVC917272:WVC917274 WLG917272:WLG917274 WBK917272:WBK917274 VRO917272:VRO917274 VHS917272:VHS917274 UXW917272:UXW917274 UOA917272:UOA917274 UEE917272:UEE917274 TUI917272:TUI917274 TKM917272:TKM917274 TAQ917272:TAQ917274 SQU917272:SQU917274 SGY917272:SGY917274 RXC917272:RXC917274 RNG917272:RNG917274 RDK917272:RDK917274 QTO917272:QTO917274 QJS917272:QJS917274 PZW917272:PZW917274 PQA917272:PQA917274 PGE917272:PGE917274 OWI917272:OWI917274 OMM917272:OMM917274 OCQ917272:OCQ917274 NSU917272:NSU917274 NIY917272:NIY917274 MZC917272:MZC917274 MPG917272:MPG917274 MFK917272:MFK917274 LVO917272:LVO917274 LLS917272:LLS917274 LBW917272:LBW917274 KSA917272:KSA917274 KIE917272:KIE917274 JYI917272:JYI917274 JOM917272:JOM917274 JEQ917272:JEQ917274 IUU917272:IUU917274 IKY917272:IKY917274 IBC917272:IBC917274 HRG917272:HRG917274 HHK917272:HHK917274 GXO917272:GXO917274 GNS917272:GNS917274 GDW917272:GDW917274 FUA917272:FUA917274 FKE917272:FKE917274 FAI917272:FAI917274 EQM917272:EQM917274 EGQ917272:EGQ917274 DWU917272:DWU917274 DMY917272:DMY917274 DDC917272:DDC917274 CTG917272:CTG917274 CJK917272:CJK917274 BZO917272:BZO917274 BPS917272:BPS917274 BFW917272:BFW917274 AWA917272:AWA917274 AME917272:AME917274 ACI917272:ACI917274 SM917272:SM917274 IQ917272:IQ917274 WVC851736:WVC851738 WLG851736:WLG851738 WBK851736:WBK851738 VRO851736:VRO851738 VHS851736:VHS851738 UXW851736:UXW851738 UOA851736:UOA851738 UEE851736:UEE851738 TUI851736:TUI851738 TKM851736:TKM851738 TAQ851736:TAQ851738 SQU851736:SQU851738 SGY851736:SGY851738 RXC851736:RXC851738 RNG851736:RNG851738 RDK851736:RDK851738 QTO851736:QTO851738 QJS851736:QJS851738 PZW851736:PZW851738 PQA851736:PQA851738 PGE851736:PGE851738 OWI851736:OWI851738 OMM851736:OMM851738 OCQ851736:OCQ851738 NSU851736:NSU851738 NIY851736:NIY851738 MZC851736:MZC851738 MPG851736:MPG851738 MFK851736:MFK851738 LVO851736:LVO851738 LLS851736:LLS851738 LBW851736:LBW851738 KSA851736:KSA851738 KIE851736:KIE851738 JYI851736:JYI851738 JOM851736:JOM851738 JEQ851736:JEQ851738 IUU851736:IUU851738 IKY851736:IKY851738 IBC851736:IBC851738 HRG851736:HRG851738 HHK851736:HHK851738 GXO851736:GXO851738 GNS851736:GNS851738 GDW851736:GDW851738 FUA851736:FUA851738 FKE851736:FKE851738 FAI851736:FAI851738 EQM851736:EQM851738 EGQ851736:EGQ851738 DWU851736:DWU851738 DMY851736:DMY851738 DDC851736:DDC851738 CTG851736:CTG851738 CJK851736:CJK851738 BZO851736:BZO851738 BPS851736:BPS851738 BFW851736:BFW851738 AWA851736:AWA851738 AME851736:AME851738 ACI851736:ACI851738 SM851736:SM851738 IQ851736:IQ851738 WVC786200:WVC786202 WLG786200:WLG786202 WBK786200:WBK786202 VRO786200:VRO786202 VHS786200:VHS786202 UXW786200:UXW786202 UOA786200:UOA786202 UEE786200:UEE786202 TUI786200:TUI786202 TKM786200:TKM786202 TAQ786200:TAQ786202 SQU786200:SQU786202 SGY786200:SGY786202 RXC786200:RXC786202 RNG786200:RNG786202 RDK786200:RDK786202 QTO786200:QTO786202 QJS786200:QJS786202 PZW786200:PZW786202 PQA786200:PQA786202 PGE786200:PGE786202 OWI786200:OWI786202 OMM786200:OMM786202 OCQ786200:OCQ786202 NSU786200:NSU786202 NIY786200:NIY786202 MZC786200:MZC786202 MPG786200:MPG786202 MFK786200:MFK786202 LVO786200:LVO786202 LLS786200:LLS786202 LBW786200:LBW786202 KSA786200:KSA786202 KIE786200:KIE786202 JYI786200:JYI786202 JOM786200:JOM786202 JEQ786200:JEQ786202 IUU786200:IUU786202 IKY786200:IKY786202 IBC786200:IBC786202 HRG786200:HRG786202 HHK786200:HHK786202 GXO786200:GXO786202 GNS786200:GNS786202 GDW786200:GDW786202 FUA786200:FUA786202 FKE786200:FKE786202 FAI786200:FAI786202 EQM786200:EQM786202 EGQ786200:EGQ786202 DWU786200:DWU786202 DMY786200:DMY786202 DDC786200:DDC786202 CTG786200:CTG786202 CJK786200:CJK786202 BZO786200:BZO786202 BPS786200:BPS786202 BFW786200:BFW786202 AWA786200:AWA786202 AME786200:AME786202 ACI786200:ACI786202 SM786200:SM786202 IQ786200:IQ786202 WVC720664:WVC720666 WLG720664:WLG720666 WBK720664:WBK720666 VRO720664:VRO720666 VHS720664:VHS720666 UXW720664:UXW720666 UOA720664:UOA720666 UEE720664:UEE720666 TUI720664:TUI720666 TKM720664:TKM720666 TAQ720664:TAQ720666 SQU720664:SQU720666 SGY720664:SGY720666 RXC720664:RXC720666 RNG720664:RNG720666 RDK720664:RDK720666 QTO720664:QTO720666 QJS720664:QJS720666 PZW720664:PZW720666 PQA720664:PQA720666 PGE720664:PGE720666 OWI720664:OWI720666 OMM720664:OMM720666 OCQ720664:OCQ720666 NSU720664:NSU720666 NIY720664:NIY720666 MZC720664:MZC720666 MPG720664:MPG720666 MFK720664:MFK720666 LVO720664:LVO720666 LLS720664:LLS720666 LBW720664:LBW720666 KSA720664:KSA720666 KIE720664:KIE720666 JYI720664:JYI720666 JOM720664:JOM720666 JEQ720664:JEQ720666 IUU720664:IUU720666 IKY720664:IKY720666 IBC720664:IBC720666 HRG720664:HRG720666 HHK720664:HHK720666 GXO720664:GXO720666 GNS720664:GNS720666 GDW720664:GDW720666 FUA720664:FUA720666 FKE720664:FKE720666 FAI720664:FAI720666 EQM720664:EQM720666 EGQ720664:EGQ720666 DWU720664:DWU720666 DMY720664:DMY720666 DDC720664:DDC720666 CTG720664:CTG720666 CJK720664:CJK720666 BZO720664:BZO720666 BPS720664:BPS720666 BFW720664:BFW720666 AWA720664:AWA720666 AME720664:AME720666 ACI720664:ACI720666 SM720664:SM720666 IQ720664:IQ720666 WVC655128:WVC655130 WLG655128:WLG655130 WBK655128:WBK655130 VRO655128:VRO655130 VHS655128:VHS655130 UXW655128:UXW655130 UOA655128:UOA655130 UEE655128:UEE655130 TUI655128:TUI655130 TKM655128:TKM655130 TAQ655128:TAQ655130 SQU655128:SQU655130 SGY655128:SGY655130 RXC655128:RXC655130 RNG655128:RNG655130 RDK655128:RDK655130 QTO655128:QTO655130 QJS655128:QJS655130 PZW655128:PZW655130 PQA655128:PQA655130 PGE655128:PGE655130 OWI655128:OWI655130 OMM655128:OMM655130 OCQ655128:OCQ655130 NSU655128:NSU655130 NIY655128:NIY655130 MZC655128:MZC655130 MPG655128:MPG655130 MFK655128:MFK655130 LVO655128:LVO655130 LLS655128:LLS655130 LBW655128:LBW655130 KSA655128:KSA655130 KIE655128:KIE655130 JYI655128:JYI655130 JOM655128:JOM655130 JEQ655128:JEQ655130 IUU655128:IUU655130 IKY655128:IKY655130 IBC655128:IBC655130 HRG655128:HRG655130 HHK655128:HHK655130 GXO655128:GXO655130 GNS655128:GNS655130 GDW655128:GDW655130 FUA655128:FUA655130 FKE655128:FKE655130 FAI655128:FAI655130 EQM655128:EQM655130 EGQ655128:EGQ655130 DWU655128:DWU655130 DMY655128:DMY655130 DDC655128:DDC655130 CTG655128:CTG655130 CJK655128:CJK655130 BZO655128:BZO655130 BPS655128:BPS655130 BFW655128:BFW655130 AWA655128:AWA655130 AME655128:AME655130 ACI655128:ACI655130 SM655128:SM655130 IQ655128:IQ655130 WVC589592:WVC589594 WLG589592:WLG589594 WBK589592:WBK589594 VRO589592:VRO589594 VHS589592:VHS589594 UXW589592:UXW589594 UOA589592:UOA589594 UEE589592:UEE589594 TUI589592:TUI589594 TKM589592:TKM589594 TAQ589592:TAQ589594 SQU589592:SQU589594 SGY589592:SGY589594 RXC589592:RXC589594 RNG589592:RNG589594 RDK589592:RDK589594 QTO589592:QTO589594 QJS589592:QJS589594 PZW589592:PZW589594 PQA589592:PQA589594 PGE589592:PGE589594 OWI589592:OWI589594 OMM589592:OMM589594 OCQ589592:OCQ589594 NSU589592:NSU589594 NIY589592:NIY589594 MZC589592:MZC589594 MPG589592:MPG589594 MFK589592:MFK589594 LVO589592:LVO589594 LLS589592:LLS589594 LBW589592:LBW589594 KSA589592:KSA589594 KIE589592:KIE589594 JYI589592:JYI589594 JOM589592:JOM589594 JEQ589592:JEQ589594 IUU589592:IUU589594 IKY589592:IKY589594 IBC589592:IBC589594 HRG589592:HRG589594 HHK589592:HHK589594 GXO589592:GXO589594 GNS589592:GNS589594 GDW589592:GDW589594 FUA589592:FUA589594 FKE589592:FKE589594 FAI589592:FAI589594 EQM589592:EQM589594 EGQ589592:EGQ589594 DWU589592:DWU589594 DMY589592:DMY589594 DDC589592:DDC589594 CTG589592:CTG589594 CJK589592:CJK589594 BZO589592:BZO589594 BPS589592:BPS589594 BFW589592:BFW589594 AWA589592:AWA589594 AME589592:AME589594 ACI589592:ACI589594 SM589592:SM589594 IQ589592:IQ589594 WVC524056:WVC524058 WLG524056:WLG524058 WBK524056:WBK524058 VRO524056:VRO524058 VHS524056:VHS524058 UXW524056:UXW524058 UOA524056:UOA524058 UEE524056:UEE524058 TUI524056:TUI524058 TKM524056:TKM524058 TAQ524056:TAQ524058 SQU524056:SQU524058 SGY524056:SGY524058 RXC524056:RXC524058 RNG524056:RNG524058 RDK524056:RDK524058 QTO524056:QTO524058 QJS524056:QJS524058 PZW524056:PZW524058 PQA524056:PQA524058 PGE524056:PGE524058 OWI524056:OWI524058 OMM524056:OMM524058 OCQ524056:OCQ524058 NSU524056:NSU524058 NIY524056:NIY524058 MZC524056:MZC524058 MPG524056:MPG524058 MFK524056:MFK524058 LVO524056:LVO524058 LLS524056:LLS524058 LBW524056:LBW524058 KSA524056:KSA524058 KIE524056:KIE524058 JYI524056:JYI524058 JOM524056:JOM524058 JEQ524056:JEQ524058 IUU524056:IUU524058 IKY524056:IKY524058 IBC524056:IBC524058 HRG524056:HRG524058 HHK524056:HHK524058 GXO524056:GXO524058 GNS524056:GNS524058 GDW524056:GDW524058 FUA524056:FUA524058 FKE524056:FKE524058 FAI524056:FAI524058 EQM524056:EQM524058 EGQ524056:EGQ524058 DWU524056:DWU524058 DMY524056:DMY524058 DDC524056:DDC524058 CTG524056:CTG524058 CJK524056:CJK524058 BZO524056:BZO524058 BPS524056:BPS524058 BFW524056:BFW524058 AWA524056:AWA524058 AME524056:AME524058 ACI524056:ACI524058 SM524056:SM524058 IQ524056:IQ524058 WVC458520:WVC458522 WLG458520:WLG458522 WBK458520:WBK458522 VRO458520:VRO458522 VHS458520:VHS458522 UXW458520:UXW458522 UOA458520:UOA458522 UEE458520:UEE458522 TUI458520:TUI458522 TKM458520:TKM458522 TAQ458520:TAQ458522 SQU458520:SQU458522 SGY458520:SGY458522 RXC458520:RXC458522 RNG458520:RNG458522 RDK458520:RDK458522 QTO458520:QTO458522 QJS458520:QJS458522 PZW458520:PZW458522 PQA458520:PQA458522 PGE458520:PGE458522 OWI458520:OWI458522 OMM458520:OMM458522 OCQ458520:OCQ458522 NSU458520:NSU458522 NIY458520:NIY458522 MZC458520:MZC458522 MPG458520:MPG458522 MFK458520:MFK458522 LVO458520:LVO458522 LLS458520:LLS458522 LBW458520:LBW458522 KSA458520:KSA458522 KIE458520:KIE458522 JYI458520:JYI458522 JOM458520:JOM458522 JEQ458520:JEQ458522 IUU458520:IUU458522 IKY458520:IKY458522 IBC458520:IBC458522 HRG458520:HRG458522 HHK458520:HHK458522 GXO458520:GXO458522 GNS458520:GNS458522 GDW458520:GDW458522 FUA458520:FUA458522 FKE458520:FKE458522 FAI458520:FAI458522 EQM458520:EQM458522 EGQ458520:EGQ458522 DWU458520:DWU458522 DMY458520:DMY458522 DDC458520:DDC458522 CTG458520:CTG458522 CJK458520:CJK458522 BZO458520:BZO458522 BPS458520:BPS458522 BFW458520:BFW458522 AWA458520:AWA458522 AME458520:AME458522 ACI458520:ACI458522 SM458520:SM458522 IQ458520:IQ458522 WVC392984:WVC392986 WLG392984:WLG392986 WBK392984:WBK392986 VRO392984:VRO392986 VHS392984:VHS392986 UXW392984:UXW392986 UOA392984:UOA392986 UEE392984:UEE392986 TUI392984:TUI392986 TKM392984:TKM392986 TAQ392984:TAQ392986 SQU392984:SQU392986 SGY392984:SGY392986 RXC392984:RXC392986 RNG392984:RNG392986 RDK392984:RDK392986 QTO392984:QTO392986 QJS392984:QJS392986 PZW392984:PZW392986 PQA392984:PQA392986 PGE392984:PGE392986 OWI392984:OWI392986 OMM392984:OMM392986 OCQ392984:OCQ392986 NSU392984:NSU392986 NIY392984:NIY392986 MZC392984:MZC392986 MPG392984:MPG392986 MFK392984:MFK392986 LVO392984:LVO392986 LLS392984:LLS392986 LBW392984:LBW392986 KSA392984:KSA392986 KIE392984:KIE392986 JYI392984:JYI392986 JOM392984:JOM392986 JEQ392984:JEQ392986 IUU392984:IUU392986 IKY392984:IKY392986 IBC392984:IBC392986 HRG392984:HRG392986 HHK392984:HHK392986 GXO392984:GXO392986 GNS392984:GNS392986 GDW392984:GDW392986 FUA392984:FUA392986 FKE392984:FKE392986 FAI392984:FAI392986 EQM392984:EQM392986 EGQ392984:EGQ392986 DWU392984:DWU392986 DMY392984:DMY392986 DDC392984:DDC392986 CTG392984:CTG392986 CJK392984:CJK392986 BZO392984:BZO392986 BPS392984:BPS392986 BFW392984:BFW392986 AWA392984:AWA392986 AME392984:AME392986 ACI392984:ACI392986 SM392984:SM392986 IQ392984:IQ392986 WVC327448:WVC327450 WLG327448:WLG327450 WBK327448:WBK327450 VRO327448:VRO327450 VHS327448:VHS327450 UXW327448:UXW327450 UOA327448:UOA327450 UEE327448:UEE327450 TUI327448:TUI327450 TKM327448:TKM327450 TAQ327448:TAQ327450 SQU327448:SQU327450 SGY327448:SGY327450 RXC327448:RXC327450 RNG327448:RNG327450 RDK327448:RDK327450 QTO327448:QTO327450 QJS327448:QJS327450 PZW327448:PZW327450 PQA327448:PQA327450 PGE327448:PGE327450 OWI327448:OWI327450 OMM327448:OMM327450 OCQ327448:OCQ327450 NSU327448:NSU327450 NIY327448:NIY327450 MZC327448:MZC327450 MPG327448:MPG327450 MFK327448:MFK327450 LVO327448:LVO327450 LLS327448:LLS327450 LBW327448:LBW327450 KSA327448:KSA327450 KIE327448:KIE327450 JYI327448:JYI327450 JOM327448:JOM327450 JEQ327448:JEQ327450 IUU327448:IUU327450 IKY327448:IKY327450 IBC327448:IBC327450 HRG327448:HRG327450 HHK327448:HHK327450 GXO327448:GXO327450 GNS327448:GNS327450 GDW327448:GDW327450 FUA327448:FUA327450 FKE327448:FKE327450 FAI327448:FAI327450 EQM327448:EQM327450 EGQ327448:EGQ327450 DWU327448:DWU327450 DMY327448:DMY327450 DDC327448:DDC327450 CTG327448:CTG327450 CJK327448:CJK327450 BZO327448:BZO327450 BPS327448:BPS327450 BFW327448:BFW327450 AWA327448:AWA327450 AME327448:AME327450 ACI327448:ACI327450 SM327448:SM327450 IQ327448:IQ327450 WVC261912:WVC261914 WLG261912:WLG261914 WBK261912:WBK261914 VRO261912:VRO261914 VHS261912:VHS261914 UXW261912:UXW261914 UOA261912:UOA261914 UEE261912:UEE261914 TUI261912:TUI261914 TKM261912:TKM261914 TAQ261912:TAQ261914 SQU261912:SQU261914 SGY261912:SGY261914 RXC261912:RXC261914 RNG261912:RNG261914 RDK261912:RDK261914 QTO261912:QTO261914 QJS261912:QJS261914 PZW261912:PZW261914 PQA261912:PQA261914 PGE261912:PGE261914 OWI261912:OWI261914 OMM261912:OMM261914 OCQ261912:OCQ261914 NSU261912:NSU261914 NIY261912:NIY261914 MZC261912:MZC261914 MPG261912:MPG261914 MFK261912:MFK261914 LVO261912:LVO261914 LLS261912:LLS261914 LBW261912:LBW261914 KSA261912:KSA261914 KIE261912:KIE261914 JYI261912:JYI261914 JOM261912:JOM261914 JEQ261912:JEQ261914 IUU261912:IUU261914 IKY261912:IKY261914 IBC261912:IBC261914 HRG261912:HRG261914 HHK261912:HHK261914 GXO261912:GXO261914 GNS261912:GNS261914 GDW261912:GDW261914 FUA261912:FUA261914 FKE261912:FKE261914 FAI261912:FAI261914 EQM261912:EQM261914 EGQ261912:EGQ261914 DWU261912:DWU261914 DMY261912:DMY261914 DDC261912:DDC261914 CTG261912:CTG261914 CJK261912:CJK261914 BZO261912:BZO261914 BPS261912:BPS261914 BFW261912:BFW261914 AWA261912:AWA261914 AME261912:AME261914 ACI261912:ACI261914 SM261912:SM261914 IQ261912:IQ261914 WVC196376:WVC196378 WLG196376:WLG196378 WBK196376:WBK196378 VRO196376:VRO196378 VHS196376:VHS196378 UXW196376:UXW196378 UOA196376:UOA196378 UEE196376:UEE196378 TUI196376:TUI196378 TKM196376:TKM196378 TAQ196376:TAQ196378 SQU196376:SQU196378 SGY196376:SGY196378 RXC196376:RXC196378 RNG196376:RNG196378 RDK196376:RDK196378 QTO196376:QTO196378 QJS196376:QJS196378 PZW196376:PZW196378 PQA196376:PQA196378 PGE196376:PGE196378 OWI196376:OWI196378 OMM196376:OMM196378 OCQ196376:OCQ196378 NSU196376:NSU196378 NIY196376:NIY196378 MZC196376:MZC196378 MPG196376:MPG196378 MFK196376:MFK196378 LVO196376:LVO196378 LLS196376:LLS196378 LBW196376:LBW196378 KSA196376:KSA196378 KIE196376:KIE196378 JYI196376:JYI196378 JOM196376:JOM196378 JEQ196376:JEQ196378 IUU196376:IUU196378 IKY196376:IKY196378 IBC196376:IBC196378 HRG196376:HRG196378 HHK196376:HHK196378 GXO196376:GXO196378 GNS196376:GNS196378 GDW196376:GDW196378 FUA196376:FUA196378 FKE196376:FKE196378 FAI196376:FAI196378 EQM196376:EQM196378 EGQ196376:EGQ196378 DWU196376:DWU196378 DMY196376:DMY196378 DDC196376:DDC196378 CTG196376:CTG196378 CJK196376:CJK196378 BZO196376:BZO196378 BPS196376:BPS196378 BFW196376:BFW196378 AWA196376:AWA196378 AME196376:AME196378 ACI196376:ACI196378 SM196376:SM196378 IQ196376:IQ196378 WVC130840:WVC130842 WLG130840:WLG130842 WBK130840:WBK130842 VRO130840:VRO130842 VHS130840:VHS130842 UXW130840:UXW130842 UOA130840:UOA130842 UEE130840:UEE130842 TUI130840:TUI130842 TKM130840:TKM130842 TAQ130840:TAQ130842 SQU130840:SQU130842 SGY130840:SGY130842 RXC130840:RXC130842 RNG130840:RNG130842 RDK130840:RDK130842 QTO130840:QTO130842 QJS130840:QJS130842 PZW130840:PZW130842 PQA130840:PQA130842 PGE130840:PGE130842 OWI130840:OWI130842 OMM130840:OMM130842 OCQ130840:OCQ130842 NSU130840:NSU130842 NIY130840:NIY130842 MZC130840:MZC130842 MPG130840:MPG130842 MFK130840:MFK130842 LVO130840:LVO130842 LLS130840:LLS130842 LBW130840:LBW130842 KSA130840:KSA130842 KIE130840:KIE130842 JYI130840:JYI130842 JOM130840:JOM130842 JEQ130840:JEQ130842 IUU130840:IUU130842 IKY130840:IKY130842 IBC130840:IBC130842 HRG130840:HRG130842 HHK130840:HHK130842 GXO130840:GXO130842 GNS130840:GNS130842 GDW130840:GDW130842 FUA130840:FUA130842 FKE130840:FKE130842 FAI130840:FAI130842 EQM130840:EQM130842 EGQ130840:EGQ130842 DWU130840:DWU130842 DMY130840:DMY130842 DDC130840:DDC130842 CTG130840:CTG130842 CJK130840:CJK130842 BZO130840:BZO130842 BPS130840:BPS130842 BFW130840:BFW130842 AWA130840:AWA130842 AME130840:AME130842 ACI130840:ACI130842 SM130840:SM130842 IQ130840:IQ130842 WVC65304:WVC65306 WLG65304:WLG65306 WBK65304:WBK65306 VRO65304:VRO65306 VHS65304:VHS65306 UXW65304:UXW65306 UOA65304:UOA65306 UEE65304:UEE65306 TUI65304:TUI65306 TKM65304:TKM65306 TAQ65304:TAQ65306 SQU65304:SQU65306 SGY65304:SGY65306 RXC65304:RXC65306 RNG65304:RNG65306 RDK65304:RDK65306 QTO65304:QTO65306 QJS65304:QJS65306 PZW65304:PZW65306 PQA65304:PQA65306 PGE65304:PGE65306 OWI65304:OWI65306 OMM65304:OMM65306 OCQ65304:OCQ65306 NSU65304:NSU65306 NIY65304:NIY65306 MZC65304:MZC65306 MPG65304:MPG65306 MFK65304:MFK65306 LVO65304:LVO65306 LLS65304:LLS65306 LBW65304:LBW65306 KSA65304:KSA65306 KIE65304:KIE65306 JYI65304:JYI65306 JOM65304:JOM65306 JEQ65304:JEQ65306 IUU65304:IUU65306 IKY65304:IKY65306 IBC65304:IBC65306 HRG65304:HRG65306 HHK65304:HHK65306 GXO65304:GXO65306 GNS65304:GNS65306 GDW65304:GDW65306 FUA65304:FUA65306 FKE65304:FKE65306 FAI65304:FAI65306 EQM65304:EQM65306 EGQ65304:EGQ65306 DWU65304:DWU65306 DMY65304:DMY65306 DDC65304:DDC65306 CTG65304:CTG65306 CJK65304:CJK65306 BZO65304:BZO65306 BPS65304:BPS65306 BFW65304:BFW65306 AWA65304:AWA65306 AME65304:AME65306 ACI65304:ACI65306 SM65304:SM65306 IQ65304:IQ65306 WVJ982834:WVJ982840 WLN982834:WLN982840 WBR982834:WBR982840 VRV982834:VRV982840 VHZ982834:VHZ982840 UYD982834:UYD982840 UOH982834:UOH982840 UEL982834:UEL982840 TUP982834:TUP982840 TKT982834:TKT982840 TAX982834:TAX982840 SRB982834:SRB982840 SHF982834:SHF982840 RXJ982834:RXJ982840 RNN982834:RNN982840 RDR982834:RDR982840 QTV982834:QTV982840 QJZ982834:QJZ982840 QAD982834:QAD982840 PQH982834:PQH982840 PGL982834:PGL982840 OWP982834:OWP982840 OMT982834:OMT982840 OCX982834:OCX982840 NTB982834:NTB982840 NJF982834:NJF982840 MZJ982834:MZJ982840 MPN982834:MPN982840 MFR982834:MFR982840 LVV982834:LVV982840 LLZ982834:LLZ982840 LCD982834:LCD982840 KSH982834:KSH982840 KIL982834:KIL982840 JYP982834:JYP982840 JOT982834:JOT982840 JEX982834:JEX982840 IVB982834:IVB982840 ILF982834:ILF982840 IBJ982834:IBJ982840 HRN982834:HRN982840 HHR982834:HHR982840 GXV982834:GXV982840 GNZ982834:GNZ982840 GED982834:GED982840 FUH982834:FUH982840 FKL982834:FKL982840 FAP982834:FAP982840 EQT982834:EQT982840 EGX982834:EGX982840 DXB982834:DXB982840 DNF982834:DNF982840 DDJ982834:DDJ982840 CTN982834:CTN982840 CJR982834:CJR982840 BZV982834:BZV982840 BPZ982834:BPZ982840 BGD982834:BGD982840 AWH982834:AWH982840 AML982834:AML982840 ACP982834:ACP982840 ST982834:ST982840 IX982834:IX982840 WVJ917298:WVJ917304 WLN917298:WLN917304 WBR917298:WBR917304 VRV917298:VRV917304 VHZ917298:VHZ917304 UYD917298:UYD917304 UOH917298:UOH917304 UEL917298:UEL917304 TUP917298:TUP917304 TKT917298:TKT917304 TAX917298:TAX917304 SRB917298:SRB917304 SHF917298:SHF917304 RXJ917298:RXJ917304 RNN917298:RNN917304 RDR917298:RDR917304 QTV917298:QTV917304 QJZ917298:QJZ917304 QAD917298:QAD917304 PQH917298:PQH917304 PGL917298:PGL917304 OWP917298:OWP917304 OMT917298:OMT917304 OCX917298:OCX917304 NTB917298:NTB917304 NJF917298:NJF917304 MZJ917298:MZJ917304 MPN917298:MPN917304 MFR917298:MFR917304 LVV917298:LVV917304 LLZ917298:LLZ917304 LCD917298:LCD917304 KSH917298:KSH917304 KIL917298:KIL917304 JYP917298:JYP917304 JOT917298:JOT917304 JEX917298:JEX917304 IVB917298:IVB917304 ILF917298:ILF917304 IBJ917298:IBJ917304 HRN917298:HRN917304 HHR917298:HHR917304 GXV917298:GXV917304 GNZ917298:GNZ917304 GED917298:GED917304 FUH917298:FUH917304 FKL917298:FKL917304 FAP917298:FAP917304 EQT917298:EQT917304 EGX917298:EGX917304 DXB917298:DXB917304 DNF917298:DNF917304 DDJ917298:DDJ917304 CTN917298:CTN917304 CJR917298:CJR917304 BZV917298:BZV917304 BPZ917298:BPZ917304 BGD917298:BGD917304 AWH917298:AWH917304 AML917298:AML917304 ACP917298:ACP917304 ST917298:ST917304 IX917298:IX917304 WVJ851762:WVJ851768 WLN851762:WLN851768 WBR851762:WBR851768 VRV851762:VRV851768 VHZ851762:VHZ851768 UYD851762:UYD851768 UOH851762:UOH851768 UEL851762:UEL851768 TUP851762:TUP851768 TKT851762:TKT851768 TAX851762:TAX851768 SRB851762:SRB851768 SHF851762:SHF851768 RXJ851762:RXJ851768 RNN851762:RNN851768 RDR851762:RDR851768 QTV851762:QTV851768 QJZ851762:QJZ851768 QAD851762:QAD851768 PQH851762:PQH851768 PGL851762:PGL851768 OWP851762:OWP851768 OMT851762:OMT851768 OCX851762:OCX851768 NTB851762:NTB851768 NJF851762:NJF851768 MZJ851762:MZJ851768 MPN851762:MPN851768 MFR851762:MFR851768 LVV851762:LVV851768 LLZ851762:LLZ851768 LCD851762:LCD851768 KSH851762:KSH851768 KIL851762:KIL851768 JYP851762:JYP851768 JOT851762:JOT851768 JEX851762:JEX851768 IVB851762:IVB851768 ILF851762:ILF851768 IBJ851762:IBJ851768 HRN851762:HRN851768 HHR851762:HHR851768 GXV851762:GXV851768 GNZ851762:GNZ851768 GED851762:GED851768 FUH851762:FUH851768 FKL851762:FKL851768 FAP851762:FAP851768 EQT851762:EQT851768 EGX851762:EGX851768 DXB851762:DXB851768 DNF851762:DNF851768 DDJ851762:DDJ851768 CTN851762:CTN851768 CJR851762:CJR851768 BZV851762:BZV851768 BPZ851762:BPZ851768 BGD851762:BGD851768 AWH851762:AWH851768 AML851762:AML851768 ACP851762:ACP851768 ST851762:ST851768 IX851762:IX851768 WVJ786226:WVJ786232 WLN786226:WLN786232 WBR786226:WBR786232 VRV786226:VRV786232 VHZ786226:VHZ786232 UYD786226:UYD786232 UOH786226:UOH786232 UEL786226:UEL786232 TUP786226:TUP786232 TKT786226:TKT786232 TAX786226:TAX786232 SRB786226:SRB786232 SHF786226:SHF786232 RXJ786226:RXJ786232 RNN786226:RNN786232 RDR786226:RDR786232 QTV786226:QTV786232 QJZ786226:QJZ786232 QAD786226:QAD786232 PQH786226:PQH786232 PGL786226:PGL786232 OWP786226:OWP786232 OMT786226:OMT786232 OCX786226:OCX786232 NTB786226:NTB786232 NJF786226:NJF786232 MZJ786226:MZJ786232 MPN786226:MPN786232 MFR786226:MFR786232 LVV786226:LVV786232 LLZ786226:LLZ786232 LCD786226:LCD786232 KSH786226:KSH786232 KIL786226:KIL786232 JYP786226:JYP786232 JOT786226:JOT786232 JEX786226:JEX786232 IVB786226:IVB786232 ILF786226:ILF786232 IBJ786226:IBJ786232 HRN786226:HRN786232 HHR786226:HHR786232 GXV786226:GXV786232 GNZ786226:GNZ786232 GED786226:GED786232 FUH786226:FUH786232 FKL786226:FKL786232 FAP786226:FAP786232 EQT786226:EQT786232 EGX786226:EGX786232 DXB786226:DXB786232 DNF786226:DNF786232 DDJ786226:DDJ786232 CTN786226:CTN786232 CJR786226:CJR786232 BZV786226:BZV786232 BPZ786226:BPZ786232 BGD786226:BGD786232 AWH786226:AWH786232 AML786226:AML786232 ACP786226:ACP786232 ST786226:ST786232 IX786226:IX786232 WVJ720690:WVJ720696 WLN720690:WLN720696 WBR720690:WBR720696 VRV720690:VRV720696 VHZ720690:VHZ720696 UYD720690:UYD720696 UOH720690:UOH720696 UEL720690:UEL720696 TUP720690:TUP720696 TKT720690:TKT720696 TAX720690:TAX720696 SRB720690:SRB720696 SHF720690:SHF720696 RXJ720690:RXJ720696 RNN720690:RNN720696 RDR720690:RDR720696 QTV720690:QTV720696 QJZ720690:QJZ720696 QAD720690:QAD720696 PQH720690:PQH720696 PGL720690:PGL720696 OWP720690:OWP720696 OMT720690:OMT720696 OCX720690:OCX720696 NTB720690:NTB720696 NJF720690:NJF720696 MZJ720690:MZJ720696 MPN720690:MPN720696 MFR720690:MFR720696 LVV720690:LVV720696 LLZ720690:LLZ720696 LCD720690:LCD720696 KSH720690:KSH720696 KIL720690:KIL720696 JYP720690:JYP720696 JOT720690:JOT720696 JEX720690:JEX720696 IVB720690:IVB720696 ILF720690:ILF720696 IBJ720690:IBJ720696 HRN720690:HRN720696 HHR720690:HHR720696 GXV720690:GXV720696 GNZ720690:GNZ720696 GED720690:GED720696 FUH720690:FUH720696 FKL720690:FKL720696 FAP720690:FAP720696 EQT720690:EQT720696 EGX720690:EGX720696 DXB720690:DXB720696 DNF720690:DNF720696 DDJ720690:DDJ720696 CTN720690:CTN720696 CJR720690:CJR720696 BZV720690:BZV720696 BPZ720690:BPZ720696 BGD720690:BGD720696 AWH720690:AWH720696 AML720690:AML720696 ACP720690:ACP720696 ST720690:ST720696 IX720690:IX720696 WVJ655154:WVJ655160 WLN655154:WLN655160 WBR655154:WBR655160 VRV655154:VRV655160 VHZ655154:VHZ655160 UYD655154:UYD655160 UOH655154:UOH655160 UEL655154:UEL655160 TUP655154:TUP655160 TKT655154:TKT655160 TAX655154:TAX655160 SRB655154:SRB655160 SHF655154:SHF655160 RXJ655154:RXJ655160 RNN655154:RNN655160 RDR655154:RDR655160 QTV655154:QTV655160 QJZ655154:QJZ655160 QAD655154:QAD655160 PQH655154:PQH655160 PGL655154:PGL655160 OWP655154:OWP655160 OMT655154:OMT655160 OCX655154:OCX655160 NTB655154:NTB655160 NJF655154:NJF655160 MZJ655154:MZJ655160 MPN655154:MPN655160 MFR655154:MFR655160 LVV655154:LVV655160 LLZ655154:LLZ655160 LCD655154:LCD655160 KSH655154:KSH655160 KIL655154:KIL655160 JYP655154:JYP655160 JOT655154:JOT655160 JEX655154:JEX655160 IVB655154:IVB655160 ILF655154:ILF655160 IBJ655154:IBJ655160 HRN655154:HRN655160 HHR655154:HHR655160 GXV655154:GXV655160 GNZ655154:GNZ655160 GED655154:GED655160 FUH655154:FUH655160 FKL655154:FKL655160 FAP655154:FAP655160 EQT655154:EQT655160 EGX655154:EGX655160 DXB655154:DXB655160 DNF655154:DNF655160 DDJ655154:DDJ655160 CTN655154:CTN655160 CJR655154:CJR655160 BZV655154:BZV655160 BPZ655154:BPZ655160 BGD655154:BGD655160 AWH655154:AWH655160 AML655154:AML655160 ACP655154:ACP655160 ST655154:ST655160 IX655154:IX655160 WVJ589618:WVJ589624 WLN589618:WLN589624 WBR589618:WBR589624 VRV589618:VRV589624 VHZ589618:VHZ589624 UYD589618:UYD589624 UOH589618:UOH589624 UEL589618:UEL589624 TUP589618:TUP589624 TKT589618:TKT589624 TAX589618:TAX589624 SRB589618:SRB589624 SHF589618:SHF589624 RXJ589618:RXJ589624 RNN589618:RNN589624 RDR589618:RDR589624 QTV589618:QTV589624 QJZ589618:QJZ589624 QAD589618:QAD589624 PQH589618:PQH589624 PGL589618:PGL589624 OWP589618:OWP589624 OMT589618:OMT589624 OCX589618:OCX589624 NTB589618:NTB589624 NJF589618:NJF589624 MZJ589618:MZJ589624 MPN589618:MPN589624 MFR589618:MFR589624 LVV589618:LVV589624 LLZ589618:LLZ589624 LCD589618:LCD589624 KSH589618:KSH589624 KIL589618:KIL589624 JYP589618:JYP589624 JOT589618:JOT589624 JEX589618:JEX589624 IVB589618:IVB589624 ILF589618:ILF589624 IBJ589618:IBJ589624 HRN589618:HRN589624 HHR589618:HHR589624 GXV589618:GXV589624 GNZ589618:GNZ589624 GED589618:GED589624 FUH589618:FUH589624 FKL589618:FKL589624 FAP589618:FAP589624 EQT589618:EQT589624 EGX589618:EGX589624 DXB589618:DXB589624 DNF589618:DNF589624 DDJ589618:DDJ589624 CTN589618:CTN589624 CJR589618:CJR589624 BZV589618:BZV589624 BPZ589618:BPZ589624 BGD589618:BGD589624 AWH589618:AWH589624 AML589618:AML589624 ACP589618:ACP589624 ST589618:ST589624 IX589618:IX589624 WVJ524082:WVJ524088 WLN524082:WLN524088 WBR524082:WBR524088 VRV524082:VRV524088 VHZ524082:VHZ524088 UYD524082:UYD524088 UOH524082:UOH524088 UEL524082:UEL524088 TUP524082:TUP524088 TKT524082:TKT524088 TAX524082:TAX524088 SRB524082:SRB524088 SHF524082:SHF524088 RXJ524082:RXJ524088 RNN524082:RNN524088 RDR524082:RDR524088 QTV524082:QTV524088 QJZ524082:QJZ524088 QAD524082:QAD524088 PQH524082:PQH524088 PGL524082:PGL524088 OWP524082:OWP524088 OMT524082:OMT524088 OCX524082:OCX524088 NTB524082:NTB524088 NJF524082:NJF524088 MZJ524082:MZJ524088 MPN524082:MPN524088 MFR524082:MFR524088 LVV524082:LVV524088 LLZ524082:LLZ524088 LCD524082:LCD524088 KSH524082:KSH524088 KIL524082:KIL524088 JYP524082:JYP524088 JOT524082:JOT524088 JEX524082:JEX524088 IVB524082:IVB524088 ILF524082:ILF524088 IBJ524082:IBJ524088 HRN524082:HRN524088 HHR524082:HHR524088 GXV524082:GXV524088 GNZ524082:GNZ524088 GED524082:GED524088 FUH524082:FUH524088 FKL524082:FKL524088 FAP524082:FAP524088 EQT524082:EQT524088 EGX524082:EGX524088 DXB524082:DXB524088 DNF524082:DNF524088 DDJ524082:DDJ524088 CTN524082:CTN524088 CJR524082:CJR524088 BZV524082:BZV524088 BPZ524082:BPZ524088 BGD524082:BGD524088 AWH524082:AWH524088 AML524082:AML524088 ACP524082:ACP524088 ST524082:ST524088 IX524082:IX524088 WVJ458546:WVJ458552 WLN458546:WLN458552 WBR458546:WBR458552 VRV458546:VRV458552 VHZ458546:VHZ458552 UYD458546:UYD458552 UOH458546:UOH458552 UEL458546:UEL458552 TUP458546:TUP458552 TKT458546:TKT458552 TAX458546:TAX458552 SRB458546:SRB458552 SHF458546:SHF458552 RXJ458546:RXJ458552 RNN458546:RNN458552 RDR458546:RDR458552 QTV458546:QTV458552 QJZ458546:QJZ458552 QAD458546:QAD458552 PQH458546:PQH458552 PGL458546:PGL458552 OWP458546:OWP458552 OMT458546:OMT458552 OCX458546:OCX458552 NTB458546:NTB458552 NJF458546:NJF458552 MZJ458546:MZJ458552 MPN458546:MPN458552 MFR458546:MFR458552 LVV458546:LVV458552 LLZ458546:LLZ458552 LCD458546:LCD458552 KSH458546:KSH458552 KIL458546:KIL458552 JYP458546:JYP458552 JOT458546:JOT458552 JEX458546:JEX458552 IVB458546:IVB458552 ILF458546:ILF458552 IBJ458546:IBJ458552 HRN458546:HRN458552 HHR458546:HHR458552 GXV458546:GXV458552 GNZ458546:GNZ458552 GED458546:GED458552 FUH458546:FUH458552 FKL458546:FKL458552 FAP458546:FAP458552 EQT458546:EQT458552 EGX458546:EGX458552 DXB458546:DXB458552 DNF458546:DNF458552 DDJ458546:DDJ458552 CTN458546:CTN458552 CJR458546:CJR458552 BZV458546:BZV458552 BPZ458546:BPZ458552 BGD458546:BGD458552 AWH458546:AWH458552 AML458546:AML458552 ACP458546:ACP458552 ST458546:ST458552 IX458546:IX458552 WVJ393010:WVJ393016 WLN393010:WLN393016 WBR393010:WBR393016 VRV393010:VRV393016 VHZ393010:VHZ393016 UYD393010:UYD393016 UOH393010:UOH393016 UEL393010:UEL393016 TUP393010:TUP393016 TKT393010:TKT393016 TAX393010:TAX393016 SRB393010:SRB393016 SHF393010:SHF393016 RXJ393010:RXJ393016 RNN393010:RNN393016 RDR393010:RDR393016 QTV393010:QTV393016 QJZ393010:QJZ393016 QAD393010:QAD393016 PQH393010:PQH393016 PGL393010:PGL393016 OWP393010:OWP393016 OMT393010:OMT393016 OCX393010:OCX393016 NTB393010:NTB393016 NJF393010:NJF393016 MZJ393010:MZJ393016 MPN393010:MPN393016 MFR393010:MFR393016 LVV393010:LVV393016 LLZ393010:LLZ393016 LCD393010:LCD393016 KSH393010:KSH393016 KIL393010:KIL393016 JYP393010:JYP393016 JOT393010:JOT393016 JEX393010:JEX393016 IVB393010:IVB393016 ILF393010:ILF393016 IBJ393010:IBJ393016 HRN393010:HRN393016 HHR393010:HHR393016 GXV393010:GXV393016 GNZ393010:GNZ393016 GED393010:GED393016 FUH393010:FUH393016 FKL393010:FKL393016 FAP393010:FAP393016 EQT393010:EQT393016 EGX393010:EGX393016 DXB393010:DXB393016 DNF393010:DNF393016 DDJ393010:DDJ393016 CTN393010:CTN393016 CJR393010:CJR393016 BZV393010:BZV393016 BPZ393010:BPZ393016 BGD393010:BGD393016 AWH393010:AWH393016 AML393010:AML393016 ACP393010:ACP393016 ST393010:ST393016 IX393010:IX393016 WVJ327474:WVJ327480 WLN327474:WLN327480 WBR327474:WBR327480 VRV327474:VRV327480 VHZ327474:VHZ327480 UYD327474:UYD327480 UOH327474:UOH327480 UEL327474:UEL327480 TUP327474:TUP327480 TKT327474:TKT327480 TAX327474:TAX327480 SRB327474:SRB327480 SHF327474:SHF327480 RXJ327474:RXJ327480 RNN327474:RNN327480 RDR327474:RDR327480 QTV327474:QTV327480 QJZ327474:QJZ327480 QAD327474:QAD327480 PQH327474:PQH327480 PGL327474:PGL327480 OWP327474:OWP327480 OMT327474:OMT327480 OCX327474:OCX327480 NTB327474:NTB327480 NJF327474:NJF327480 MZJ327474:MZJ327480 MPN327474:MPN327480 MFR327474:MFR327480 LVV327474:LVV327480 LLZ327474:LLZ327480 LCD327474:LCD327480 KSH327474:KSH327480 KIL327474:KIL327480 JYP327474:JYP327480 JOT327474:JOT327480 JEX327474:JEX327480 IVB327474:IVB327480 ILF327474:ILF327480 IBJ327474:IBJ327480 HRN327474:HRN327480 HHR327474:HHR327480 GXV327474:GXV327480 GNZ327474:GNZ327480 GED327474:GED327480 FUH327474:FUH327480 FKL327474:FKL327480 FAP327474:FAP327480 EQT327474:EQT327480 EGX327474:EGX327480 DXB327474:DXB327480 DNF327474:DNF327480 DDJ327474:DDJ327480 CTN327474:CTN327480 CJR327474:CJR327480 BZV327474:BZV327480 BPZ327474:BPZ327480 BGD327474:BGD327480 AWH327474:AWH327480 AML327474:AML327480 ACP327474:ACP327480 ST327474:ST327480 IX327474:IX327480 WVJ261938:WVJ261944 WLN261938:WLN261944 WBR261938:WBR261944 VRV261938:VRV261944 VHZ261938:VHZ261944 UYD261938:UYD261944 UOH261938:UOH261944 UEL261938:UEL261944 TUP261938:TUP261944 TKT261938:TKT261944 TAX261938:TAX261944 SRB261938:SRB261944 SHF261938:SHF261944 RXJ261938:RXJ261944 RNN261938:RNN261944 RDR261938:RDR261944 QTV261938:QTV261944 QJZ261938:QJZ261944 QAD261938:QAD261944 PQH261938:PQH261944 PGL261938:PGL261944 OWP261938:OWP261944 OMT261938:OMT261944 OCX261938:OCX261944 NTB261938:NTB261944 NJF261938:NJF261944 MZJ261938:MZJ261944 MPN261938:MPN261944 MFR261938:MFR261944 LVV261938:LVV261944 LLZ261938:LLZ261944 LCD261938:LCD261944 KSH261938:KSH261944 KIL261938:KIL261944 JYP261938:JYP261944 JOT261938:JOT261944 JEX261938:JEX261944 IVB261938:IVB261944 ILF261938:ILF261944 IBJ261938:IBJ261944 HRN261938:HRN261944 HHR261938:HHR261944 GXV261938:GXV261944 GNZ261938:GNZ261944 GED261938:GED261944 FUH261938:FUH261944 FKL261938:FKL261944 FAP261938:FAP261944 EQT261938:EQT261944 EGX261938:EGX261944 DXB261938:DXB261944 DNF261938:DNF261944 DDJ261938:DDJ261944 CTN261938:CTN261944 CJR261938:CJR261944 BZV261938:BZV261944 BPZ261938:BPZ261944 BGD261938:BGD261944 AWH261938:AWH261944 AML261938:AML261944 ACP261938:ACP261944 ST261938:ST261944 IX261938:IX261944 WVJ196402:WVJ196408 WLN196402:WLN196408 WBR196402:WBR196408 VRV196402:VRV196408 VHZ196402:VHZ196408 UYD196402:UYD196408 UOH196402:UOH196408 UEL196402:UEL196408 TUP196402:TUP196408 TKT196402:TKT196408 TAX196402:TAX196408 SRB196402:SRB196408 SHF196402:SHF196408 RXJ196402:RXJ196408 RNN196402:RNN196408 RDR196402:RDR196408 QTV196402:QTV196408 QJZ196402:QJZ196408 QAD196402:QAD196408 PQH196402:PQH196408 PGL196402:PGL196408 OWP196402:OWP196408 OMT196402:OMT196408 OCX196402:OCX196408 NTB196402:NTB196408 NJF196402:NJF196408 MZJ196402:MZJ196408 MPN196402:MPN196408 MFR196402:MFR196408 LVV196402:LVV196408 LLZ196402:LLZ196408 LCD196402:LCD196408 KSH196402:KSH196408 KIL196402:KIL196408 JYP196402:JYP196408 JOT196402:JOT196408 JEX196402:JEX196408 IVB196402:IVB196408 ILF196402:ILF196408 IBJ196402:IBJ196408 HRN196402:HRN196408 HHR196402:HHR196408 GXV196402:GXV196408 GNZ196402:GNZ196408 GED196402:GED196408 FUH196402:FUH196408 FKL196402:FKL196408 FAP196402:FAP196408 EQT196402:EQT196408 EGX196402:EGX196408 DXB196402:DXB196408 DNF196402:DNF196408 DDJ196402:DDJ196408 CTN196402:CTN196408 CJR196402:CJR196408 BZV196402:BZV196408 BPZ196402:BPZ196408 BGD196402:BGD196408 AWH196402:AWH196408 AML196402:AML196408 ACP196402:ACP196408 ST196402:ST196408 IX196402:IX196408 WVJ130866:WVJ130872 WLN130866:WLN130872 WBR130866:WBR130872 VRV130866:VRV130872 VHZ130866:VHZ130872 UYD130866:UYD130872 UOH130866:UOH130872 UEL130866:UEL130872 TUP130866:TUP130872 TKT130866:TKT130872 TAX130866:TAX130872 SRB130866:SRB130872 SHF130866:SHF130872 RXJ130866:RXJ130872 RNN130866:RNN130872 RDR130866:RDR130872 QTV130866:QTV130872 QJZ130866:QJZ130872 QAD130866:QAD130872 PQH130866:PQH130872 PGL130866:PGL130872 OWP130866:OWP130872 OMT130866:OMT130872 OCX130866:OCX130872 NTB130866:NTB130872 NJF130866:NJF130872 MZJ130866:MZJ130872 MPN130866:MPN130872 MFR130866:MFR130872 LVV130866:LVV130872 LLZ130866:LLZ130872 LCD130866:LCD130872 KSH130866:KSH130872 KIL130866:KIL130872 JYP130866:JYP130872 JOT130866:JOT130872 JEX130866:JEX130872 IVB130866:IVB130872 ILF130866:ILF130872 IBJ130866:IBJ130872 HRN130866:HRN130872 HHR130866:HHR130872 GXV130866:GXV130872 GNZ130866:GNZ130872 GED130866:GED130872 FUH130866:FUH130872 FKL130866:FKL130872 FAP130866:FAP130872 EQT130866:EQT130872 EGX130866:EGX130872 DXB130866:DXB130872 DNF130866:DNF130872 DDJ130866:DDJ130872 CTN130866:CTN130872 CJR130866:CJR130872 BZV130866:BZV130872 BPZ130866:BPZ130872 BGD130866:BGD130872 AWH130866:AWH130872 AML130866:AML130872 ACP130866:ACP130872 ST130866:ST130872 IX130866:IX130872 WVJ65330:WVJ65336 WLN65330:WLN65336 WBR65330:WBR65336 VRV65330:VRV65336 VHZ65330:VHZ65336 UYD65330:UYD65336 UOH65330:UOH65336 UEL65330:UEL65336 TUP65330:TUP65336 TKT65330:TKT65336 TAX65330:TAX65336 SRB65330:SRB65336 SHF65330:SHF65336 RXJ65330:RXJ65336 RNN65330:RNN65336 RDR65330:RDR65336 QTV65330:QTV65336 QJZ65330:QJZ65336 QAD65330:QAD65336 PQH65330:PQH65336 PGL65330:PGL65336 OWP65330:OWP65336 OMT65330:OMT65336 OCX65330:OCX65336 NTB65330:NTB65336 NJF65330:NJF65336 MZJ65330:MZJ65336 MPN65330:MPN65336 MFR65330:MFR65336 LVV65330:LVV65336 LLZ65330:LLZ65336 LCD65330:LCD65336 KSH65330:KSH65336 KIL65330:KIL65336 JYP65330:JYP65336 JOT65330:JOT65336 JEX65330:JEX65336 IVB65330:IVB65336 ILF65330:ILF65336 IBJ65330:IBJ65336 HRN65330:HRN65336 HHR65330:HHR65336 GXV65330:GXV65336 GNZ65330:GNZ65336 GED65330:GED65336 FUH65330:FUH65336 FKL65330:FKL65336 FAP65330:FAP65336 EQT65330:EQT65336 EGX65330:EGX65336 DXB65330:DXB65336 DNF65330:DNF65336 DDJ65330:DDJ65336 CTN65330:CTN65336 CJR65330:CJR65336 BZV65330:BZV65336 BPZ65330:BPZ65336 BGD65330:BGD65336 AWH65330:AWH65336 AML65330:AML65336 ACP65330:ACP65336 ST65330:ST65336 IX65330:IX65336 WVJ982808:WVJ982815 WLN982808:WLN982815 WBR982808:WBR982815 VRV982808:VRV982815 VHZ982808:VHZ982815 UYD982808:UYD982815 UOH982808:UOH982815 UEL982808:UEL982815 TUP982808:TUP982815 TKT982808:TKT982815 TAX982808:TAX982815 SRB982808:SRB982815 SHF982808:SHF982815 RXJ982808:RXJ982815 RNN982808:RNN982815 RDR982808:RDR982815 QTV982808:QTV982815 QJZ982808:QJZ982815 QAD982808:QAD982815 PQH982808:PQH982815 PGL982808:PGL982815 OWP982808:OWP982815 OMT982808:OMT982815 OCX982808:OCX982815 NTB982808:NTB982815 NJF982808:NJF982815 MZJ982808:MZJ982815 MPN982808:MPN982815 MFR982808:MFR982815 LVV982808:LVV982815 LLZ982808:LLZ982815 LCD982808:LCD982815 KSH982808:KSH982815 KIL982808:KIL982815 JYP982808:JYP982815 JOT982808:JOT982815 JEX982808:JEX982815 IVB982808:IVB982815 ILF982808:ILF982815 IBJ982808:IBJ982815 HRN982808:HRN982815 HHR982808:HHR982815 GXV982808:GXV982815 GNZ982808:GNZ982815 GED982808:GED982815 FUH982808:FUH982815 FKL982808:FKL982815 FAP982808:FAP982815 EQT982808:EQT982815 EGX982808:EGX982815 DXB982808:DXB982815 DNF982808:DNF982815 DDJ982808:DDJ982815 CTN982808:CTN982815 CJR982808:CJR982815 BZV982808:BZV982815 BPZ982808:BPZ982815 BGD982808:BGD982815 AWH982808:AWH982815 AML982808:AML982815 ACP982808:ACP982815 ST982808:ST982815 IX982808:IX982815 WVJ917272:WVJ917279 WLN917272:WLN917279 WBR917272:WBR917279 VRV917272:VRV917279 VHZ917272:VHZ917279 UYD917272:UYD917279 UOH917272:UOH917279 UEL917272:UEL917279 TUP917272:TUP917279 TKT917272:TKT917279 TAX917272:TAX917279 SRB917272:SRB917279 SHF917272:SHF917279 RXJ917272:RXJ917279 RNN917272:RNN917279 RDR917272:RDR917279 QTV917272:QTV917279 QJZ917272:QJZ917279 QAD917272:QAD917279 PQH917272:PQH917279 PGL917272:PGL917279 OWP917272:OWP917279 OMT917272:OMT917279 OCX917272:OCX917279 NTB917272:NTB917279 NJF917272:NJF917279 MZJ917272:MZJ917279 MPN917272:MPN917279 MFR917272:MFR917279 LVV917272:LVV917279 LLZ917272:LLZ917279 LCD917272:LCD917279 KSH917272:KSH917279 KIL917272:KIL917279 JYP917272:JYP917279 JOT917272:JOT917279 JEX917272:JEX917279 IVB917272:IVB917279 ILF917272:ILF917279 IBJ917272:IBJ917279 HRN917272:HRN917279 HHR917272:HHR917279 GXV917272:GXV917279 GNZ917272:GNZ917279 GED917272:GED917279 FUH917272:FUH917279 FKL917272:FKL917279 FAP917272:FAP917279 EQT917272:EQT917279 EGX917272:EGX917279 DXB917272:DXB917279 DNF917272:DNF917279 DDJ917272:DDJ917279 CTN917272:CTN917279 CJR917272:CJR917279 BZV917272:BZV917279 BPZ917272:BPZ917279 BGD917272:BGD917279 AWH917272:AWH917279 AML917272:AML917279 ACP917272:ACP917279 ST917272:ST917279 IX917272:IX917279 WVJ851736:WVJ851743 WLN851736:WLN851743 WBR851736:WBR851743 VRV851736:VRV851743 VHZ851736:VHZ851743 UYD851736:UYD851743 UOH851736:UOH851743 UEL851736:UEL851743 TUP851736:TUP851743 TKT851736:TKT851743 TAX851736:TAX851743 SRB851736:SRB851743 SHF851736:SHF851743 RXJ851736:RXJ851743 RNN851736:RNN851743 RDR851736:RDR851743 QTV851736:QTV851743 QJZ851736:QJZ851743 QAD851736:QAD851743 PQH851736:PQH851743 PGL851736:PGL851743 OWP851736:OWP851743 OMT851736:OMT851743 OCX851736:OCX851743 NTB851736:NTB851743 NJF851736:NJF851743 MZJ851736:MZJ851743 MPN851736:MPN851743 MFR851736:MFR851743 LVV851736:LVV851743 LLZ851736:LLZ851743 LCD851736:LCD851743 KSH851736:KSH851743 KIL851736:KIL851743 JYP851736:JYP851743 JOT851736:JOT851743 JEX851736:JEX851743 IVB851736:IVB851743 ILF851736:ILF851743 IBJ851736:IBJ851743 HRN851736:HRN851743 HHR851736:HHR851743 GXV851736:GXV851743 GNZ851736:GNZ851743 GED851736:GED851743 FUH851736:FUH851743 FKL851736:FKL851743 FAP851736:FAP851743 EQT851736:EQT851743 EGX851736:EGX851743 DXB851736:DXB851743 DNF851736:DNF851743 DDJ851736:DDJ851743 CTN851736:CTN851743 CJR851736:CJR851743 BZV851736:BZV851743 BPZ851736:BPZ851743 BGD851736:BGD851743 AWH851736:AWH851743 AML851736:AML851743 ACP851736:ACP851743 ST851736:ST851743 IX851736:IX851743 WVJ786200:WVJ786207 WLN786200:WLN786207 WBR786200:WBR786207 VRV786200:VRV786207 VHZ786200:VHZ786207 UYD786200:UYD786207 UOH786200:UOH786207 UEL786200:UEL786207 TUP786200:TUP786207 TKT786200:TKT786207 TAX786200:TAX786207 SRB786200:SRB786207 SHF786200:SHF786207 RXJ786200:RXJ786207 RNN786200:RNN786207 RDR786200:RDR786207 QTV786200:QTV786207 QJZ786200:QJZ786207 QAD786200:QAD786207 PQH786200:PQH786207 PGL786200:PGL786207 OWP786200:OWP786207 OMT786200:OMT786207 OCX786200:OCX786207 NTB786200:NTB786207 NJF786200:NJF786207 MZJ786200:MZJ786207 MPN786200:MPN786207 MFR786200:MFR786207 LVV786200:LVV786207 LLZ786200:LLZ786207 LCD786200:LCD786207 KSH786200:KSH786207 KIL786200:KIL786207 JYP786200:JYP786207 JOT786200:JOT786207 JEX786200:JEX786207 IVB786200:IVB786207 ILF786200:ILF786207 IBJ786200:IBJ786207 HRN786200:HRN786207 HHR786200:HHR786207 GXV786200:GXV786207 GNZ786200:GNZ786207 GED786200:GED786207 FUH786200:FUH786207 FKL786200:FKL786207 FAP786200:FAP786207 EQT786200:EQT786207 EGX786200:EGX786207 DXB786200:DXB786207 DNF786200:DNF786207 DDJ786200:DDJ786207 CTN786200:CTN786207 CJR786200:CJR786207 BZV786200:BZV786207 BPZ786200:BPZ786207 BGD786200:BGD786207 AWH786200:AWH786207 AML786200:AML786207 ACP786200:ACP786207 ST786200:ST786207 IX786200:IX786207 WVJ720664:WVJ720671 WLN720664:WLN720671 WBR720664:WBR720671 VRV720664:VRV720671 VHZ720664:VHZ720671 UYD720664:UYD720671 UOH720664:UOH720671 UEL720664:UEL720671 TUP720664:TUP720671 TKT720664:TKT720671 TAX720664:TAX720671 SRB720664:SRB720671 SHF720664:SHF720671 RXJ720664:RXJ720671 RNN720664:RNN720671 RDR720664:RDR720671 QTV720664:QTV720671 QJZ720664:QJZ720671 QAD720664:QAD720671 PQH720664:PQH720671 PGL720664:PGL720671 OWP720664:OWP720671 OMT720664:OMT720671 OCX720664:OCX720671 NTB720664:NTB720671 NJF720664:NJF720671 MZJ720664:MZJ720671 MPN720664:MPN720671 MFR720664:MFR720671 LVV720664:LVV720671 LLZ720664:LLZ720671 LCD720664:LCD720671 KSH720664:KSH720671 KIL720664:KIL720671 JYP720664:JYP720671 JOT720664:JOT720671 JEX720664:JEX720671 IVB720664:IVB720671 ILF720664:ILF720671 IBJ720664:IBJ720671 HRN720664:HRN720671 HHR720664:HHR720671 GXV720664:GXV720671 GNZ720664:GNZ720671 GED720664:GED720671 FUH720664:FUH720671 FKL720664:FKL720671 FAP720664:FAP720671 EQT720664:EQT720671 EGX720664:EGX720671 DXB720664:DXB720671 DNF720664:DNF720671 DDJ720664:DDJ720671 CTN720664:CTN720671 CJR720664:CJR720671 BZV720664:BZV720671 BPZ720664:BPZ720671 BGD720664:BGD720671 AWH720664:AWH720671 AML720664:AML720671 ACP720664:ACP720671 ST720664:ST720671 IX720664:IX720671 WVJ655128:WVJ655135 WLN655128:WLN655135 WBR655128:WBR655135 VRV655128:VRV655135 VHZ655128:VHZ655135 UYD655128:UYD655135 UOH655128:UOH655135 UEL655128:UEL655135 TUP655128:TUP655135 TKT655128:TKT655135 TAX655128:TAX655135 SRB655128:SRB655135 SHF655128:SHF655135 RXJ655128:RXJ655135 RNN655128:RNN655135 RDR655128:RDR655135 QTV655128:QTV655135 QJZ655128:QJZ655135 QAD655128:QAD655135 PQH655128:PQH655135 PGL655128:PGL655135 OWP655128:OWP655135 OMT655128:OMT655135 OCX655128:OCX655135 NTB655128:NTB655135 NJF655128:NJF655135 MZJ655128:MZJ655135 MPN655128:MPN655135 MFR655128:MFR655135 LVV655128:LVV655135 LLZ655128:LLZ655135 LCD655128:LCD655135 KSH655128:KSH655135 KIL655128:KIL655135 JYP655128:JYP655135 JOT655128:JOT655135 JEX655128:JEX655135 IVB655128:IVB655135 ILF655128:ILF655135 IBJ655128:IBJ655135 HRN655128:HRN655135 HHR655128:HHR655135 GXV655128:GXV655135 GNZ655128:GNZ655135 GED655128:GED655135 FUH655128:FUH655135 FKL655128:FKL655135 FAP655128:FAP655135 EQT655128:EQT655135 EGX655128:EGX655135 DXB655128:DXB655135 DNF655128:DNF655135 DDJ655128:DDJ655135 CTN655128:CTN655135 CJR655128:CJR655135 BZV655128:BZV655135 BPZ655128:BPZ655135 BGD655128:BGD655135 AWH655128:AWH655135 AML655128:AML655135 ACP655128:ACP655135 ST655128:ST655135 IX655128:IX655135 WVJ589592:WVJ589599 WLN589592:WLN589599 WBR589592:WBR589599 VRV589592:VRV589599 VHZ589592:VHZ589599 UYD589592:UYD589599 UOH589592:UOH589599 UEL589592:UEL589599 TUP589592:TUP589599 TKT589592:TKT589599 TAX589592:TAX589599 SRB589592:SRB589599 SHF589592:SHF589599 RXJ589592:RXJ589599 RNN589592:RNN589599 RDR589592:RDR589599 QTV589592:QTV589599 QJZ589592:QJZ589599 QAD589592:QAD589599 PQH589592:PQH589599 PGL589592:PGL589599 OWP589592:OWP589599 OMT589592:OMT589599 OCX589592:OCX589599 NTB589592:NTB589599 NJF589592:NJF589599 MZJ589592:MZJ589599 MPN589592:MPN589599 MFR589592:MFR589599 LVV589592:LVV589599 LLZ589592:LLZ589599 LCD589592:LCD589599 KSH589592:KSH589599 KIL589592:KIL589599 JYP589592:JYP589599 JOT589592:JOT589599 JEX589592:JEX589599 IVB589592:IVB589599 ILF589592:ILF589599 IBJ589592:IBJ589599 HRN589592:HRN589599 HHR589592:HHR589599 GXV589592:GXV589599 GNZ589592:GNZ589599 GED589592:GED589599 FUH589592:FUH589599 FKL589592:FKL589599 FAP589592:FAP589599 EQT589592:EQT589599 EGX589592:EGX589599 DXB589592:DXB589599 DNF589592:DNF589599 DDJ589592:DDJ589599 CTN589592:CTN589599 CJR589592:CJR589599 BZV589592:BZV589599 BPZ589592:BPZ589599 BGD589592:BGD589599 AWH589592:AWH589599 AML589592:AML589599 ACP589592:ACP589599 ST589592:ST589599 IX589592:IX589599 WVJ524056:WVJ524063 WLN524056:WLN524063 WBR524056:WBR524063 VRV524056:VRV524063 VHZ524056:VHZ524063 UYD524056:UYD524063 UOH524056:UOH524063 UEL524056:UEL524063 TUP524056:TUP524063 TKT524056:TKT524063 TAX524056:TAX524063 SRB524056:SRB524063 SHF524056:SHF524063 RXJ524056:RXJ524063 RNN524056:RNN524063 RDR524056:RDR524063 QTV524056:QTV524063 QJZ524056:QJZ524063 QAD524056:QAD524063 PQH524056:PQH524063 PGL524056:PGL524063 OWP524056:OWP524063 OMT524056:OMT524063 OCX524056:OCX524063 NTB524056:NTB524063 NJF524056:NJF524063 MZJ524056:MZJ524063 MPN524056:MPN524063 MFR524056:MFR524063 LVV524056:LVV524063 LLZ524056:LLZ524063 LCD524056:LCD524063 KSH524056:KSH524063 KIL524056:KIL524063 JYP524056:JYP524063 JOT524056:JOT524063 JEX524056:JEX524063 IVB524056:IVB524063 ILF524056:ILF524063 IBJ524056:IBJ524063 HRN524056:HRN524063 HHR524056:HHR524063 GXV524056:GXV524063 GNZ524056:GNZ524063 GED524056:GED524063 FUH524056:FUH524063 FKL524056:FKL524063 FAP524056:FAP524063 EQT524056:EQT524063 EGX524056:EGX524063 DXB524056:DXB524063 DNF524056:DNF524063 DDJ524056:DDJ524063 CTN524056:CTN524063 CJR524056:CJR524063 BZV524056:BZV524063 BPZ524056:BPZ524063 BGD524056:BGD524063 AWH524056:AWH524063 AML524056:AML524063 ACP524056:ACP524063 ST524056:ST524063 IX524056:IX524063 WVJ458520:WVJ458527 WLN458520:WLN458527 WBR458520:WBR458527 VRV458520:VRV458527 VHZ458520:VHZ458527 UYD458520:UYD458527 UOH458520:UOH458527 UEL458520:UEL458527 TUP458520:TUP458527 TKT458520:TKT458527 TAX458520:TAX458527 SRB458520:SRB458527 SHF458520:SHF458527 RXJ458520:RXJ458527 RNN458520:RNN458527 RDR458520:RDR458527 QTV458520:QTV458527 QJZ458520:QJZ458527 QAD458520:QAD458527 PQH458520:PQH458527 PGL458520:PGL458527 OWP458520:OWP458527 OMT458520:OMT458527 OCX458520:OCX458527 NTB458520:NTB458527 NJF458520:NJF458527 MZJ458520:MZJ458527 MPN458520:MPN458527 MFR458520:MFR458527 LVV458520:LVV458527 LLZ458520:LLZ458527 LCD458520:LCD458527 KSH458520:KSH458527 KIL458520:KIL458527 JYP458520:JYP458527 JOT458520:JOT458527 JEX458520:JEX458527 IVB458520:IVB458527 ILF458520:ILF458527 IBJ458520:IBJ458527 HRN458520:HRN458527 HHR458520:HHR458527 GXV458520:GXV458527 GNZ458520:GNZ458527 GED458520:GED458527 FUH458520:FUH458527 FKL458520:FKL458527 FAP458520:FAP458527 EQT458520:EQT458527 EGX458520:EGX458527 DXB458520:DXB458527 DNF458520:DNF458527 DDJ458520:DDJ458527 CTN458520:CTN458527 CJR458520:CJR458527 BZV458520:BZV458527 BPZ458520:BPZ458527 BGD458520:BGD458527 AWH458520:AWH458527 AML458520:AML458527 ACP458520:ACP458527 ST458520:ST458527 IX458520:IX458527 WVJ392984:WVJ392991 WLN392984:WLN392991 WBR392984:WBR392991 VRV392984:VRV392991 VHZ392984:VHZ392991 UYD392984:UYD392991 UOH392984:UOH392991 UEL392984:UEL392991 TUP392984:TUP392991 TKT392984:TKT392991 TAX392984:TAX392991 SRB392984:SRB392991 SHF392984:SHF392991 RXJ392984:RXJ392991 RNN392984:RNN392991 RDR392984:RDR392991 QTV392984:QTV392991 QJZ392984:QJZ392991 QAD392984:QAD392991 PQH392984:PQH392991 PGL392984:PGL392991 OWP392984:OWP392991 OMT392984:OMT392991 OCX392984:OCX392991 NTB392984:NTB392991 NJF392984:NJF392991 MZJ392984:MZJ392991 MPN392984:MPN392991 MFR392984:MFR392991 LVV392984:LVV392991 LLZ392984:LLZ392991 LCD392984:LCD392991 KSH392984:KSH392991 KIL392984:KIL392991 JYP392984:JYP392991 JOT392984:JOT392991 JEX392984:JEX392991 IVB392984:IVB392991 ILF392984:ILF392991 IBJ392984:IBJ392991 HRN392984:HRN392991 HHR392984:HHR392991 GXV392984:GXV392991 GNZ392984:GNZ392991 GED392984:GED392991 FUH392984:FUH392991 FKL392984:FKL392991 FAP392984:FAP392991 EQT392984:EQT392991 EGX392984:EGX392991 DXB392984:DXB392991 DNF392984:DNF392991 DDJ392984:DDJ392991 CTN392984:CTN392991 CJR392984:CJR392991 BZV392984:BZV392991 BPZ392984:BPZ392991 BGD392984:BGD392991 AWH392984:AWH392991 AML392984:AML392991 ACP392984:ACP392991 ST392984:ST392991 IX392984:IX392991 WVJ327448:WVJ327455 WLN327448:WLN327455 WBR327448:WBR327455 VRV327448:VRV327455 VHZ327448:VHZ327455 UYD327448:UYD327455 UOH327448:UOH327455 UEL327448:UEL327455 TUP327448:TUP327455 TKT327448:TKT327455 TAX327448:TAX327455 SRB327448:SRB327455 SHF327448:SHF327455 RXJ327448:RXJ327455 RNN327448:RNN327455 RDR327448:RDR327455 QTV327448:QTV327455 QJZ327448:QJZ327455 QAD327448:QAD327455 PQH327448:PQH327455 PGL327448:PGL327455 OWP327448:OWP327455 OMT327448:OMT327455 OCX327448:OCX327455 NTB327448:NTB327455 NJF327448:NJF327455 MZJ327448:MZJ327455 MPN327448:MPN327455 MFR327448:MFR327455 LVV327448:LVV327455 LLZ327448:LLZ327455 LCD327448:LCD327455 KSH327448:KSH327455 KIL327448:KIL327455 JYP327448:JYP327455 JOT327448:JOT327455 JEX327448:JEX327455 IVB327448:IVB327455 ILF327448:ILF327455 IBJ327448:IBJ327455 HRN327448:HRN327455 HHR327448:HHR327455 GXV327448:GXV327455 GNZ327448:GNZ327455 GED327448:GED327455 FUH327448:FUH327455 FKL327448:FKL327455 FAP327448:FAP327455 EQT327448:EQT327455 EGX327448:EGX327455 DXB327448:DXB327455 DNF327448:DNF327455 DDJ327448:DDJ327455 CTN327448:CTN327455 CJR327448:CJR327455 BZV327448:BZV327455 BPZ327448:BPZ327455 BGD327448:BGD327455 AWH327448:AWH327455 AML327448:AML327455 ACP327448:ACP327455 ST327448:ST327455 IX327448:IX327455 WVJ261912:WVJ261919 WLN261912:WLN261919 WBR261912:WBR261919 VRV261912:VRV261919 VHZ261912:VHZ261919 UYD261912:UYD261919 UOH261912:UOH261919 UEL261912:UEL261919 TUP261912:TUP261919 TKT261912:TKT261919 TAX261912:TAX261919 SRB261912:SRB261919 SHF261912:SHF261919 RXJ261912:RXJ261919 RNN261912:RNN261919 RDR261912:RDR261919 QTV261912:QTV261919 QJZ261912:QJZ261919 QAD261912:QAD261919 PQH261912:PQH261919 PGL261912:PGL261919 OWP261912:OWP261919 OMT261912:OMT261919 OCX261912:OCX261919 NTB261912:NTB261919 NJF261912:NJF261919 MZJ261912:MZJ261919 MPN261912:MPN261919 MFR261912:MFR261919 LVV261912:LVV261919 LLZ261912:LLZ261919 LCD261912:LCD261919 KSH261912:KSH261919 KIL261912:KIL261919 JYP261912:JYP261919 JOT261912:JOT261919 JEX261912:JEX261919 IVB261912:IVB261919 ILF261912:ILF261919 IBJ261912:IBJ261919 HRN261912:HRN261919 HHR261912:HHR261919 GXV261912:GXV261919 GNZ261912:GNZ261919 GED261912:GED261919 FUH261912:FUH261919 FKL261912:FKL261919 FAP261912:FAP261919 EQT261912:EQT261919 EGX261912:EGX261919 DXB261912:DXB261919 DNF261912:DNF261919 DDJ261912:DDJ261919 CTN261912:CTN261919 CJR261912:CJR261919 BZV261912:BZV261919 BPZ261912:BPZ261919 BGD261912:BGD261919 AWH261912:AWH261919 AML261912:AML261919 ACP261912:ACP261919 ST261912:ST261919 IX261912:IX261919 WVJ196376:WVJ196383 WLN196376:WLN196383 WBR196376:WBR196383 VRV196376:VRV196383 VHZ196376:VHZ196383 UYD196376:UYD196383 UOH196376:UOH196383 UEL196376:UEL196383 TUP196376:TUP196383 TKT196376:TKT196383 TAX196376:TAX196383 SRB196376:SRB196383 SHF196376:SHF196383 RXJ196376:RXJ196383 RNN196376:RNN196383 RDR196376:RDR196383 QTV196376:QTV196383 QJZ196376:QJZ196383 QAD196376:QAD196383 PQH196376:PQH196383 PGL196376:PGL196383 OWP196376:OWP196383 OMT196376:OMT196383 OCX196376:OCX196383 NTB196376:NTB196383 NJF196376:NJF196383 MZJ196376:MZJ196383 MPN196376:MPN196383 MFR196376:MFR196383 LVV196376:LVV196383 LLZ196376:LLZ196383 LCD196376:LCD196383 KSH196376:KSH196383 KIL196376:KIL196383 JYP196376:JYP196383 JOT196376:JOT196383 JEX196376:JEX196383 IVB196376:IVB196383 ILF196376:ILF196383 IBJ196376:IBJ196383 HRN196376:HRN196383 HHR196376:HHR196383 GXV196376:GXV196383 GNZ196376:GNZ196383 GED196376:GED196383 FUH196376:FUH196383 FKL196376:FKL196383 FAP196376:FAP196383 EQT196376:EQT196383 EGX196376:EGX196383 DXB196376:DXB196383 DNF196376:DNF196383 DDJ196376:DDJ196383 CTN196376:CTN196383 CJR196376:CJR196383 BZV196376:BZV196383 BPZ196376:BPZ196383 BGD196376:BGD196383 AWH196376:AWH196383 AML196376:AML196383 ACP196376:ACP196383 ST196376:ST196383 IX196376:IX196383 WVJ130840:WVJ130847 WLN130840:WLN130847 WBR130840:WBR130847 VRV130840:VRV130847 VHZ130840:VHZ130847 UYD130840:UYD130847 UOH130840:UOH130847 UEL130840:UEL130847 TUP130840:TUP130847 TKT130840:TKT130847 TAX130840:TAX130847 SRB130840:SRB130847 SHF130840:SHF130847 RXJ130840:RXJ130847 RNN130840:RNN130847 RDR130840:RDR130847 QTV130840:QTV130847 QJZ130840:QJZ130847 QAD130840:QAD130847 PQH130840:PQH130847 PGL130840:PGL130847 OWP130840:OWP130847 OMT130840:OMT130847 OCX130840:OCX130847 NTB130840:NTB130847 NJF130840:NJF130847 MZJ130840:MZJ130847 MPN130840:MPN130847 MFR130840:MFR130847 LVV130840:LVV130847 LLZ130840:LLZ130847 LCD130840:LCD130847 KSH130840:KSH130847 KIL130840:KIL130847 JYP130840:JYP130847 JOT130840:JOT130847 JEX130840:JEX130847 IVB130840:IVB130847 ILF130840:ILF130847 IBJ130840:IBJ130847 HRN130840:HRN130847 HHR130840:HHR130847 GXV130840:GXV130847 GNZ130840:GNZ130847 GED130840:GED130847 FUH130840:FUH130847 FKL130840:FKL130847 FAP130840:FAP130847 EQT130840:EQT130847 EGX130840:EGX130847 DXB130840:DXB130847 DNF130840:DNF130847 DDJ130840:DDJ130847 CTN130840:CTN130847 CJR130840:CJR130847 BZV130840:BZV130847 BPZ130840:BPZ130847 BGD130840:BGD130847 AWH130840:AWH130847 AML130840:AML130847 ACP130840:ACP130847 ST130840:ST130847 IX130840:IX130847 WVJ65304:WVJ65311 WLN65304:WLN65311 WBR65304:WBR65311 VRV65304:VRV65311 VHZ65304:VHZ65311 UYD65304:UYD65311 UOH65304:UOH65311 UEL65304:UEL65311 TUP65304:TUP65311 TKT65304:TKT65311 TAX65304:TAX65311 SRB65304:SRB65311 SHF65304:SHF65311 RXJ65304:RXJ65311 RNN65304:RNN65311 RDR65304:RDR65311 QTV65304:QTV65311 QJZ65304:QJZ65311 QAD65304:QAD65311 PQH65304:PQH65311 PGL65304:PGL65311 OWP65304:OWP65311 OMT65304:OMT65311 OCX65304:OCX65311 NTB65304:NTB65311 NJF65304:NJF65311 MZJ65304:MZJ65311 MPN65304:MPN65311 MFR65304:MFR65311 LVV65304:LVV65311 LLZ65304:LLZ65311 LCD65304:LCD65311 KSH65304:KSH65311 KIL65304:KIL65311 JYP65304:JYP65311 JOT65304:JOT65311 JEX65304:JEX65311 IVB65304:IVB65311 ILF65304:ILF65311 IBJ65304:IBJ65311 HRN65304:HRN65311 HHR65304:HHR65311 GXV65304:GXV65311 GNZ65304:GNZ65311 GED65304:GED65311 FUH65304:FUH65311 FKL65304:FKL65311 FAP65304:FAP65311 EQT65304:EQT65311 EGX65304:EGX65311 DXB65304:DXB65311 DNF65304:DNF65311 DDJ65304:DDJ65311 CTN65304:CTN65311 CJR65304:CJR65311 BZV65304:BZV65311 BPZ65304:BPZ65311 BGD65304:BGD65311 AWH65304:AWH65311 AML65304:AML65311 ACP65304:ACP65311 ST65304:ST65311 IX65304:IX65311 WVJ982819:WVJ982820 WLN982819:WLN982820 WBR982819:WBR982820 VRV982819:VRV982820 VHZ982819:VHZ982820 UYD982819:UYD982820 UOH982819:UOH982820 UEL982819:UEL982820 TUP982819:TUP982820 TKT982819:TKT982820 TAX982819:TAX982820 SRB982819:SRB982820 SHF982819:SHF982820 RXJ982819:RXJ982820 RNN982819:RNN982820 RDR982819:RDR982820 QTV982819:QTV982820 QJZ982819:QJZ982820 QAD982819:QAD982820 PQH982819:PQH982820 PGL982819:PGL982820 OWP982819:OWP982820 OMT982819:OMT982820 OCX982819:OCX982820 NTB982819:NTB982820 NJF982819:NJF982820 MZJ982819:MZJ982820 MPN982819:MPN982820 MFR982819:MFR982820 LVV982819:LVV982820 LLZ982819:LLZ982820 LCD982819:LCD982820 KSH982819:KSH982820 KIL982819:KIL982820 JYP982819:JYP982820 JOT982819:JOT982820 JEX982819:JEX982820 IVB982819:IVB982820 ILF982819:ILF982820 IBJ982819:IBJ982820 HRN982819:HRN982820 HHR982819:HHR982820 GXV982819:GXV982820 GNZ982819:GNZ982820 GED982819:GED982820 FUH982819:FUH982820 FKL982819:FKL982820 FAP982819:FAP982820 EQT982819:EQT982820 EGX982819:EGX982820 DXB982819:DXB982820 DNF982819:DNF982820 DDJ982819:DDJ982820 CTN982819:CTN982820 CJR982819:CJR982820 BZV982819:BZV982820 BPZ982819:BPZ982820 BGD982819:BGD982820 AWH982819:AWH982820 AML982819:AML982820 ACP982819:ACP982820 ST982819:ST982820 IX982819:IX982820 WVJ917283:WVJ917284 WLN917283:WLN917284 WBR917283:WBR917284 VRV917283:VRV917284 VHZ917283:VHZ917284 UYD917283:UYD917284 UOH917283:UOH917284 UEL917283:UEL917284 TUP917283:TUP917284 TKT917283:TKT917284 TAX917283:TAX917284 SRB917283:SRB917284 SHF917283:SHF917284 RXJ917283:RXJ917284 RNN917283:RNN917284 RDR917283:RDR917284 QTV917283:QTV917284 QJZ917283:QJZ917284 QAD917283:QAD917284 PQH917283:PQH917284 PGL917283:PGL917284 OWP917283:OWP917284 OMT917283:OMT917284 OCX917283:OCX917284 NTB917283:NTB917284 NJF917283:NJF917284 MZJ917283:MZJ917284 MPN917283:MPN917284 MFR917283:MFR917284 LVV917283:LVV917284 LLZ917283:LLZ917284 LCD917283:LCD917284 KSH917283:KSH917284 KIL917283:KIL917284 JYP917283:JYP917284 JOT917283:JOT917284 JEX917283:JEX917284 IVB917283:IVB917284 ILF917283:ILF917284 IBJ917283:IBJ917284 HRN917283:HRN917284 HHR917283:HHR917284 GXV917283:GXV917284 GNZ917283:GNZ917284 GED917283:GED917284 FUH917283:FUH917284 FKL917283:FKL917284 FAP917283:FAP917284 EQT917283:EQT917284 EGX917283:EGX917284 DXB917283:DXB917284 DNF917283:DNF917284 DDJ917283:DDJ917284 CTN917283:CTN917284 CJR917283:CJR917284 BZV917283:BZV917284 BPZ917283:BPZ917284 BGD917283:BGD917284 AWH917283:AWH917284 AML917283:AML917284 ACP917283:ACP917284 ST917283:ST917284 IX917283:IX917284 WVJ851747:WVJ851748 WLN851747:WLN851748 WBR851747:WBR851748 VRV851747:VRV851748 VHZ851747:VHZ851748 UYD851747:UYD851748 UOH851747:UOH851748 UEL851747:UEL851748 TUP851747:TUP851748 TKT851747:TKT851748 TAX851747:TAX851748 SRB851747:SRB851748 SHF851747:SHF851748 RXJ851747:RXJ851748 RNN851747:RNN851748 RDR851747:RDR851748 QTV851747:QTV851748 QJZ851747:QJZ851748 QAD851747:QAD851748 PQH851747:PQH851748 PGL851747:PGL851748 OWP851747:OWP851748 OMT851747:OMT851748 OCX851747:OCX851748 NTB851747:NTB851748 NJF851747:NJF851748 MZJ851747:MZJ851748 MPN851747:MPN851748 MFR851747:MFR851748 LVV851747:LVV851748 LLZ851747:LLZ851748 LCD851747:LCD851748 KSH851747:KSH851748 KIL851747:KIL851748 JYP851747:JYP851748 JOT851747:JOT851748 JEX851747:JEX851748 IVB851747:IVB851748 ILF851747:ILF851748 IBJ851747:IBJ851748 HRN851747:HRN851748 HHR851747:HHR851748 GXV851747:GXV851748 GNZ851747:GNZ851748 GED851747:GED851748 FUH851747:FUH851748 FKL851747:FKL851748 FAP851747:FAP851748 EQT851747:EQT851748 EGX851747:EGX851748 DXB851747:DXB851748 DNF851747:DNF851748 DDJ851747:DDJ851748 CTN851747:CTN851748 CJR851747:CJR851748 BZV851747:BZV851748 BPZ851747:BPZ851748 BGD851747:BGD851748 AWH851747:AWH851748 AML851747:AML851748 ACP851747:ACP851748 ST851747:ST851748 IX851747:IX851748 WVJ786211:WVJ786212 WLN786211:WLN786212 WBR786211:WBR786212 VRV786211:VRV786212 VHZ786211:VHZ786212 UYD786211:UYD786212 UOH786211:UOH786212 UEL786211:UEL786212 TUP786211:TUP786212 TKT786211:TKT786212 TAX786211:TAX786212 SRB786211:SRB786212 SHF786211:SHF786212 RXJ786211:RXJ786212 RNN786211:RNN786212 RDR786211:RDR786212 QTV786211:QTV786212 QJZ786211:QJZ786212 QAD786211:QAD786212 PQH786211:PQH786212 PGL786211:PGL786212 OWP786211:OWP786212 OMT786211:OMT786212 OCX786211:OCX786212 NTB786211:NTB786212 NJF786211:NJF786212 MZJ786211:MZJ786212 MPN786211:MPN786212 MFR786211:MFR786212 LVV786211:LVV786212 LLZ786211:LLZ786212 LCD786211:LCD786212 KSH786211:KSH786212 KIL786211:KIL786212 JYP786211:JYP786212 JOT786211:JOT786212 JEX786211:JEX786212 IVB786211:IVB786212 ILF786211:ILF786212 IBJ786211:IBJ786212 HRN786211:HRN786212 HHR786211:HHR786212 GXV786211:GXV786212 GNZ786211:GNZ786212 GED786211:GED786212 FUH786211:FUH786212 FKL786211:FKL786212 FAP786211:FAP786212 EQT786211:EQT786212 EGX786211:EGX786212 DXB786211:DXB786212 DNF786211:DNF786212 DDJ786211:DDJ786212 CTN786211:CTN786212 CJR786211:CJR786212 BZV786211:BZV786212 BPZ786211:BPZ786212 BGD786211:BGD786212 AWH786211:AWH786212 AML786211:AML786212 ACP786211:ACP786212 ST786211:ST786212 IX786211:IX786212 WVJ720675:WVJ720676 WLN720675:WLN720676 WBR720675:WBR720676 VRV720675:VRV720676 VHZ720675:VHZ720676 UYD720675:UYD720676 UOH720675:UOH720676 UEL720675:UEL720676 TUP720675:TUP720676 TKT720675:TKT720676 TAX720675:TAX720676 SRB720675:SRB720676 SHF720675:SHF720676 RXJ720675:RXJ720676 RNN720675:RNN720676 RDR720675:RDR720676 QTV720675:QTV720676 QJZ720675:QJZ720676 QAD720675:QAD720676 PQH720675:PQH720676 PGL720675:PGL720676 OWP720675:OWP720676 OMT720675:OMT720676 OCX720675:OCX720676 NTB720675:NTB720676 NJF720675:NJF720676 MZJ720675:MZJ720676 MPN720675:MPN720676 MFR720675:MFR720676 LVV720675:LVV720676 LLZ720675:LLZ720676 LCD720675:LCD720676 KSH720675:KSH720676 KIL720675:KIL720676 JYP720675:JYP720676 JOT720675:JOT720676 JEX720675:JEX720676 IVB720675:IVB720676 ILF720675:ILF720676 IBJ720675:IBJ720676 HRN720675:HRN720676 HHR720675:HHR720676 GXV720675:GXV720676 GNZ720675:GNZ720676 GED720675:GED720676 FUH720675:FUH720676 FKL720675:FKL720676 FAP720675:FAP720676 EQT720675:EQT720676 EGX720675:EGX720676 DXB720675:DXB720676 DNF720675:DNF720676 DDJ720675:DDJ720676 CTN720675:CTN720676 CJR720675:CJR720676 BZV720675:BZV720676 BPZ720675:BPZ720676 BGD720675:BGD720676 AWH720675:AWH720676 AML720675:AML720676 ACP720675:ACP720676 ST720675:ST720676 IX720675:IX720676 WVJ655139:WVJ655140 WLN655139:WLN655140 WBR655139:WBR655140 VRV655139:VRV655140 VHZ655139:VHZ655140 UYD655139:UYD655140 UOH655139:UOH655140 UEL655139:UEL655140 TUP655139:TUP655140 TKT655139:TKT655140 TAX655139:TAX655140 SRB655139:SRB655140 SHF655139:SHF655140 RXJ655139:RXJ655140 RNN655139:RNN655140 RDR655139:RDR655140 QTV655139:QTV655140 QJZ655139:QJZ655140 QAD655139:QAD655140 PQH655139:PQH655140 PGL655139:PGL655140 OWP655139:OWP655140 OMT655139:OMT655140 OCX655139:OCX655140 NTB655139:NTB655140 NJF655139:NJF655140 MZJ655139:MZJ655140 MPN655139:MPN655140 MFR655139:MFR655140 LVV655139:LVV655140 LLZ655139:LLZ655140 LCD655139:LCD655140 KSH655139:KSH655140 KIL655139:KIL655140 JYP655139:JYP655140 JOT655139:JOT655140 JEX655139:JEX655140 IVB655139:IVB655140 ILF655139:ILF655140 IBJ655139:IBJ655140 HRN655139:HRN655140 HHR655139:HHR655140 GXV655139:GXV655140 GNZ655139:GNZ655140 GED655139:GED655140 FUH655139:FUH655140 FKL655139:FKL655140 FAP655139:FAP655140 EQT655139:EQT655140 EGX655139:EGX655140 DXB655139:DXB655140 DNF655139:DNF655140 DDJ655139:DDJ655140 CTN655139:CTN655140 CJR655139:CJR655140 BZV655139:BZV655140 BPZ655139:BPZ655140 BGD655139:BGD655140 AWH655139:AWH655140 AML655139:AML655140 ACP655139:ACP655140 ST655139:ST655140 IX655139:IX655140 WVJ589603:WVJ589604 WLN589603:WLN589604 WBR589603:WBR589604 VRV589603:VRV589604 VHZ589603:VHZ589604 UYD589603:UYD589604 UOH589603:UOH589604 UEL589603:UEL589604 TUP589603:TUP589604 TKT589603:TKT589604 TAX589603:TAX589604 SRB589603:SRB589604 SHF589603:SHF589604 RXJ589603:RXJ589604 RNN589603:RNN589604 RDR589603:RDR589604 QTV589603:QTV589604 QJZ589603:QJZ589604 QAD589603:QAD589604 PQH589603:PQH589604 PGL589603:PGL589604 OWP589603:OWP589604 OMT589603:OMT589604 OCX589603:OCX589604 NTB589603:NTB589604 NJF589603:NJF589604 MZJ589603:MZJ589604 MPN589603:MPN589604 MFR589603:MFR589604 LVV589603:LVV589604 LLZ589603:LLZ589604 LCD589603:LCD589604 KSH589603:KSH589604 KIL589603:KIL589604 JYP589603:JYP589604 JOT589603:JOT589604 JEX589603:JEX589604 IVB589603:IVB589604 ILF589603:ILF589604 IBJ589603:IBJ589604 HRN589603:HRN589604 HHR589603:HHR589604 GXV589603:GXV589604 GNZ589603:GNZ589604 GED589603:GED589604 FUH589603:FUH589604 FKL589603:FKL589604 FAP589603:FAP589604 EQT589603:EQT589604 EGX589603:EGX589604 DXB589603:DXB589604 DNF589603:DNF589604 DDJ589603:DDJ589604 CTN589603:CTN589604 CJR589603:CJR589604 BZV589603:BZV589604 BPZ589603:BPZ589604 BGD589603:BGD589604 AWH589603:AWH589604 AML589603:AML589604 ACP589603:ACP589604 ST589603:ST589604 IX589603:IX589604 WVJ524067:WVJ524068 WLN524067:WLN524068 WBR524067:WBR524068 VRV524067:VRV524068 VHZ524067:VHZ524068 UYD524067:UYD524068 UOH524067:UOH524068 UEL524067:UEL524068 TUP524067:TUP524068 TKT524067:TKT524068 TAX524067:TAX524068 SRB524067:SRB524068 SHF524067:SHF524068 RXJ524067:RXJ524068 RNN524067:RNN524068 RDR524067:RDR524068 QTV524067:QTV524068 QJZ524067:QJZ524068 QAD524067:QAD524068 PQH524067:PQH524068 PGL524067:PGL524068 OWP524067:OWP524068 OMT524067:OMT524068 OCX524067:OCX524068 NTB524067:NTB524068 NJF524067:NJF524068 MZJ524067:MZJ524068 MPN524067:MPN524068 MFR524067:MFR524068 LVV524067:LVV524068 LLZ524067:LLZ524068 LCD524067:LCD524068 KSH524067:KSH524068 KIL524067:KIL524068 JYP524067:JYP524068 JOT524067:JOT524068 JEX524067:JEX524068 IVB524067:IVB524068 ILF524067:ILF524068 IBJ524067:IBJ524068 HRN524067:HRN524068 HHR524067:HHR524068 GXV524067:GXV524068 GNZ524067:GNZ524068 GED524067:GED524068 FUH524067:FUH524068 FKL524067:FKL524068 FAP524067:FAP524068 EQT524067:EQT524068 EGX524067:EGX524068 DXB524067:DXB524068 DNF524067:DNF524068 DDJ524067:DDJ524068 CTN524067:CTN524068 CJR524067:CJR524068 BZV524067:BZV524068 BPZ524067:BPZ524068 BGD524067:BGD524068 AWH524067:AWH524068 AML524067:AML524068 ACP524067:ACP524068 ST524067:ST524068 IX524067:IX524068 WVJ458531:WVJ458532 WLN458531:WLN458532 WBR458531:WBR458532 VRV458531:VRV458532 VHZ458531:VHZ458532 UYD458531:UYD458532 UOH458531:UOH458532 UEL458531:UEL458532 TUP458531:TUP458532 TKT458531:TKT458532 TAX458531:TAX458532 SRB458531:SRB458532 SHF458531:SHF458532 RXJ458531:RXJ458532 RNN458531:RNN458532 RDR458531:RDR458532 QTV458531:QTV458532 QJZ458531:QJZ458532 QAD458531:QAD458532 PQH458531:PQH458532 PGL458531:PGL458532 OWP458531:OWP458532 OMT458531:OMT458532 OCX458531:OCX458532 NTB458531:NTB458532 NJF458531:NJF458532 MZJ458531:MZJ458532 MPN458531:MPN458532 MFR458531:MFR458532 LVV458531:LVV458532 LLZ458531:LLZ458532 LCD458531:LCD458532 KSH458531:KSH458532 KIL458531:KIL458532 JYP458531:JYP458532 JOT458531:JOT458532 JEX458531:JEX458532 IVB458531:IVB458532 ILF458531:ILF458532 IBJ458531:IBJ458532 HRN458531:HRN458532 HHR458531:HHR458532 GXV458531:GXV458532 GNZ458531:GNZ458532 GED458531:GED458532 FUH458531:FUH458532 FKL458531:FKL458532 FAP458531:FAP458532 EQT458531:EQT458532 EGX458531:EGX458532 DXB458531:DXB458532 DNF458531:DNF458532 DDJ458531:DDJ458532 CTN458531:CTN458532 CJR458531:CJR458532 BZV458531:BZV458532 BPZ458531:BPZ458532 BGD458531:BGD458532 AWH458531:AWH458532 AML458531:AML458532 ACP458531:ACP458532 ST458531:ST458532 IX458531:IX458532 WVJ392995:WVJ392996 WLN392995:WLN392996 WBR392995:WBR392996 VRV392995:VRV392996 VHZ392995:VHZ392996 UYD392995:UYD392996 UOH392995:UOH392996 UEL392995:UEL392996 TUP392995:TUP392996 TKT392995:TKT392996 TAX392995:TAX392996 SRB392995:SRB392996 SHF392995:SHF392996 RXJ392995:RXJ392996 RNN392995:RNN392996 RDR392995:RDR392996 QTV392995:QTV392996 QJZ392995:QJZ392996 QAD392995:QAD392996 PQH392995:PQH392996 PGL392995:PGL392996 OWP392995:OWP392996 OMT392995:OMT392996 OCX392995:OCX392996 NTB392995:NTB392996 NJF392995:NJF392996 MZJ392995:MZJ392996 MPN392995:MPN392996 MFR392995:MFR392996 LVV392995:LVV392996 LLZ392995:LLZ392996 LCD392995:LCD392996 KSH392995:KSH392996 KIL392995:KIL392996 JYP392995:JYP392996 JOT392995:JOT392996 JEX392995:JEX392996 IVB392995:IVB392996 ILF392995:ILF392996 IBJ392995:IBJ392996 HRN392995:HRN392996 HHR392995:HHR392996 GXV392995:GXV392996 GNZ392995:GNZ392996 GED392995:GED392996 FUH392995:FUH392996 FKL392995:FKL392996 FAP392995:FAP392996 EQT392995:EQT392996 EGX392995:EGX392996 DXB392995:DXB392996 DNF392995:DNF392996 DDJ392995:DDJ392996 CTN392995:CTN392996 CJR392995:CJR392996 BZV392995:BZV392996 BPZ392995:BPZ392996 BGD392995:BGD392996 AWH392995:AWH392996 AML392995:AML392996 ACP392995:ACP392996 ST392995:ST392996 IX392995:IX392996 WVJ327459:WVJ327460 WLN327459:WLN327460 WBR327459:WBR327460 VRV327459:VRV327460 VHZ327459:VHZ327460 UYD327459:UYD327460 UOH327459:UOH327460 UEL327459:UEL327460 TUP327459:TUP327460 TKT327459:TKT327460 TAX327459:TAX327460 SRB327459:SRB327460 SHF327459:SHF327460 RXJ327459:RXJ327460 RNN327459:RNN327460 RDR327459:RDR327460 QTV327459:QTV327460 QJZ327459:QJZ327460 QAD327459:QAD327460 PQH327459:PQH327460 PGL327459:PGL327460 OWP327459:OWP327460 OMT327459:OMT327460 OCX327459:OCX327460 NTB327459:NTB327460 NJF327459:NJF327460 MZJ327459:MZJ327460 MPN327459:MPN327460 MFR327459:MFR327460 LVV327459:LVV327460 LLZ327459:LLZ327460 LCD327459:LCD327460 KSH327459:KSH327460 KIL327459:KIL327460 JYP327459:JYP327460 JOT327459:JOT327460 JEX327459:JEX327460 IVB327459:IVB327460 ILF327459:ILF327460 IBJ327459:IBJ327460 HRN327459:HRN327460 HHR327459:HHR327460 GXV327459:GXV327460 GNZ327459:GNZ327460 GED327459:GED327460 FUH327459:FUH327460 FKL327459:FKL327460 FAP327459:FAP327460 EQT327459:EQT327460 EGX327459:EGX327460 DXB327459:DXB327460 DNF327459:DNF327460 DDJ327459:DDJ327460 CTN327459:CTN327460 CJR327459:CJR327460 BZV327459:BZV327460 BPZ327459:BPZ327460 BGD327459:BGD327460 AWH327459:AWH327460 AML327459:AML327460 ACP327459:ACP327460 ST327459:ST327460 IX327459:IX327460 WVJ261923:WVJ261924 WLN261923:WLN261924 WBR261923:WBR261924 VRV261923:VRV261924 VHZ261923:VHZ261924 UYD261923:UYD261924 UOH261923:UOH261924 UEL261923:UEL261924 TUP261923:TUP261924 TKT261923:TKT261924 TAX261923:TAX261924 SRB261923:SRB261924 SHF261923:SHF261924 RXJ261923:RXJ261924 RNN261923:RNN261924 RDR261923:RDR261924 QTV261923:QTV261924 QJZ261923:QJZ261924 QAD261923:QAD261924 PQH261923:PQH261924 PGL261923:PGL261924 OWP261923:OWP261924 OMT261923:OMT261924 OCX261923:OCX261924 NTB261923:NTB261924 NJF261923:NJF261924 MZJ261923:MZJ261924 MPN261923:MPN261924 MFR261923:MFR261924 LVV261923:LVV261924 LLZ261923:LLZ261924 LCD261923:LCD261924 KSH261923:KSH261924 KIL261923:KIL261924 JYP261923:JYP261924 JOT261923:JOT261924 JEX261923:JEX261924 IVB261923:IVB261924 ILF261923:ILF261924 IBJ261923:IBJ261924 HRN261923:HRN261924 HHR261923:HHR261924 GXV261923:GXV261924 GNZ261923:GNZ261924 GED261923:GED261924 FUH261923:FUH261924 FKL261923:FKL261924 FAP261923:FAP261924 EQT261923:EQT261924 EGX261923:EGX261924 DXB261923:DXB261924 DNF261923:DNF261924 DDJ261923:DDJ261924 CTN261923:CTN261924 CJR261923:CJR261924 BZV261923:BZV261924 BPZ261923:BPZ261924 BGD261923:BGD261924 AWH261923:AWH261924 AML261923:AML261924 ACP261923:ACP261924 ST261923:ST261924 IX261923:IX261924 WVJ196387:WVJ196388 WLN196387:WLN196388 WBR196387:WBR196388 VRV196387:VRV196388 VHZ196387:VHZ196388 UYD196387:UYD196388 UOH196387:UOH196388 UEL196387:UEL196388 TUP196387:TUP196388 TKT196387:TKT196388 TAX196387:TAX196388 SRB196387:SRB196388 SHF196387:SHF196388 RXJ196387:RXJ196388 RNN196387:RNN196388 RDR196387:RDR196388 QTV196387:QTV196388 QJZ196387:QJZ196388 QAD196387:QAD196388 PQH196387:PQH196388 PGL196387:PGL196388 OWP196387:OWP196388 OMT196387:OMT196388 OCX196387:OCX196388 NTB196387:NTB196388 NJF196387:NJF196388 MZJ196387:MZJ196388 MPN196387:MPN196388 MFR196387:MFR196388 LVV196387:LVV196388 LLZ196387:LLZ196388 LCD196387:LCD196388 KSH196387:KSH196388 KIL196387:KIL196388 JYP196387:JYP196388 JOT196387:JOT196388 JEX196387:JEX196388 IVB196387:IVB196388 ILF196387:ILF196388 IBJ196387:IBJ196388 HRN196387:HRN196388 HHR196387:HHR196388 GXV196387:GXV196388 GNZ196387:GNZ196388 GED196387:GED196388 FUH196387:FUH196388 FKL196387:FKL196388 FAP196387:FAP196388 EQT196387:EQT196388 EGX196387:EGX196388 DXB196387:DXB196388 DNF196387:DNF196388 DDJ196387:DDJ196388 CTN196387:CTN196388 CJR196387:CJR196388 BZV196387:BZV196388 BPZ196387:BPZ196388 BGD196387:BGD196388 AWH196387:AWH196388 AML196387:AML196388 ACP196387:ACP196388 ST196387:ST196388 IX196387:IX196388 WVJ130851:WVJ130852 WLN130851:WLN130852 WBR130851:WBR130852 VRV130851:VRV130852 VHZ130851:VHZ130852 UYD130851:UYD130852 UOH130851:UOH130852 UEL130851:UEL130852 TUP130851:TUP130852 TKT130851:TKT130852 TAX130851:TAX130852 SRB130851:SRB130852 SHF130851:SHF130852 RXJ130851:RXJ130852 RNN130851:RNN130852 RDR130851:RDR130852 QTV130851:QTV130852 QJZ130851:QJZ130852 QAD130851:QAD130852 PQH130851:PQH130852 PGL130851:PGL130852 OWP130851:OWP130852 OMT130851:OMT130852 OCX130851:OCX130852 NTB130851:NTB130852 NJF130851:NJF130852 MZJ130851:MZJ130852 MPN130851:MPN130852 MFR130851:MFR130852 LVV130851:LVV130852 LLZ130851:LLZ130852 LCD130851:LCD130852 KSH130851:KSH130852 KIL130851:KIL130852 JYP130851:JYP130852 JOT130851:JOT130852 JEX130851:JEX130852 IVB130851:IVB130852 ILF130851:ILF130852 IBJ130851:IBJ130852 HRN130851:HRN130852 HHR130851:HHR130852 GXV130851:GXV130852 GNZ130851:GNZ130852 GED130851:GED130852 FUH130851:FUH130852 FKL130851:FKL130852 FAP130851:FAP130852 EQT130851:EQT130852 EGX130851:EGX130852 DXB130851:DXB130852 DNF130851:DNF130852 DDJ130851:DDJ130852 CTN130851:CTN130852 CJR130851:CJR130852 BZV130851:BZV130852 BPZ130851:BPZ130852 BGD130851:BGD130852 AWH130851:AWH130852 AML130851:AML130852 ACP130851:ACP130852 ST130851:ST130852 IX130851:IX130852 WVJ65315:WVJ65316 WLN65315:WLN65316 WBR65315:WBR65316 VRV65315:VRV65316 VHZ65315:VHZ65316 UYD65315:UYD65316 UOH65315:UOH65316 UEL65315:UEL65316 TUP65315:TUP65316 TKT65315:TKT65316 TAX65315:TAX65316 SRB65315:SRB65316 SHF65315:SHF65316 RXJ65315:RXJ65316 RNN65315:RNN65316 RDR65315:RDR65316 QTV65315:QTV65316 QJZ65315:QJZ65316 QAD65315:QAD65316 PQH65315:PQH65316 PGL65315:PGL65316 OWP65315:OWP65316 OMT65315:OMT65316 OCX65315:OCX65316 NTB65315:NTB65316 NJF65315:NJF65316 MZJ65315:MZJ65316 MPN65315:MPN65316 MFR65315:MFR65316 LVV65315:LVV65316 LLZ65315:LLZ65316 LCD65315:LCD65316 KSH65315:KSH65316 KIL65315:KIL65316 JYP65315:JYP65316 JOT65315:JOT65316 JEX65315:JEX65316 IVB65315:IVB65316 ILF65315:ILF65316 IBJ65315:IBJ65316 HRN65315:HRN65316 HHR65315:HHR65316 GXV65315:GXV65316 GNZ65315:GNZ65316 GED65315:GED65316 FUH65315:FUH65316 FKL65315:FKL65316 FAP65315:FAP65316 EQT65315:EQT65316 EGX65315:EGX65316 DXB65315:DXB65316 DNF65315:DNF65316 DDJ65315:DDJ65316 CTN65315:CTN65316 CJR65315:CJR65316 BZV65315:BZV65316 BPZ65315:BPZ65316 BGD65315:BGD65316 AWH65315:AWH65316 AML65315:AML65316 ACP65315:ACP65316 ST65315:ST65316 IX65315:IX65316 WVC982816:WVC982821 WLG982816:WLG982821 WBK982816:WBK982821 VRO982816:VRO982821 VHS982816:VHS982821 UXW982816:UXW982821 UOA982816:UOA982821 UEE982816:UEE982821 TUI982816:TUI982821 TKM982816:TKM982821 TAQ982816:TAQ982821 SQU982816:SQU982821 SGY982816:SGY982821 RXC982816:RXC982821 RNG982816:RNG982821 RDK982816:RDK982821 QTO982816:QTO982821 QJS982816:QJS982821 PZW982816:PZW982821 PQA982816:PQA982821 PGE982816:PGE982821 OWI982816:OWI982821 OMM982816:OMM982821 OCQ982816:OCQ982821 NSU982816:NSU982821 NIY982816:NIY982821 MZC982816:MZC982821 MPG982816:MPG982821 MFK982816:MFK982821 LVO982816:LVO982821 LLS982816:LLS982821 LBW982816:LBW982821 KSA982816:KSA982821 KIE982816:KIE982821 JYI982816:JYI982821 JOM982816:JOM982821 JEQ982816:JEQ982821 IUU982816:IUU982821 IKY982816:IKY982821 IBC982816:IBC982821 HRG982816:HRG982821 HHK982816:HHK982821 GXO982816:GXO982821 GNS982816:GNS982821 GDW982816:GDW982821 FUA982816:FUA982821 FKE982816:FKE982821 FAI982816:FAI982821 EQM982816:EQM982821 EGQ982816:EGQ982821 DWU982816:DWU982821 DMY982816:DMY982821 DDC982816:DDC982821 CTG982816:CTG982821 CJK982816:CJK982821 BZO982816:BZO982821 BPS982816:BPS982821 BFW982816:BFW982821 AWA982816:AWA982821 AME982816:AME982821 ACI982816:ACI982821 SM982816:SM982821 IQ982816:IQ982821 WVC917280:WVC917285 WLG917280:WLG917285 WBK917280:WBK917285 VRO917280:VRO917285 VHS917280:VHS917285 UXW917280:UXW917285 UOA917280:UOA917285 UEE917280:UEE917285 TUI917280:TUI917285 TKM917280:TKM917285 TAQ917280:TAQ917285 SQU917280:SQU917285 SGY917280:SGY917285 RXC917280:RXC917285 RNG917280:RNG917285 RDK917280:RDK917285 QTO917280:QTO917285 QJS917280:QJS917285 PZW917280:PZW917285 PQA917280:PQA917285 PGE917280:PGE917285 OWI917280:OWI917285 OMM917280:OMM917285 OCQ917280:OCQ917285 NSU917280:NSU917285 NIY917280:NIY917285 MZC917280:MZC917285 MPG917280:MPG917285 MFK917280:MFK917285 LVO917280:LVO917285 LLS917280:LLS917285 LBW917280:LBW917285 KSA917280:KSA917285 KIE917280:KIE917285 JYI917280:JYI917285 JOM917280:JOM917285 JEQ917280:JEQ917285 IUU917280:IUU917285 IKY917280:IKY917285 IBC917280:IBC917285 HRG917280:HRG917285 HHK917280:HHK917285 GXO917280:GXO917285 GNS917280:GNS917285 GDW917280:GDW917285 FUA917280:FUA917285 FKE917280:FKE917285 FAI917280:FAI917285 EQM917280:EQM917285 EGQ917280:EGQ917285 DWU917280:DWU917285 DMY917280:DMY917285 DDC917280:DDC917285 CTG917280:CTG917285 CJK917280:CJK917285 BZO917280:BZO917285 BPS917280:BPS917285 BFW917280:BFW917285 AWA917280:AWA917285 AME917280:AME917285 ACI917280:ACI917285 SM917280:SM917285 IQ917280:IQ917285 WVC851744:WVC851749 WLG851744:WLG851749 WBK851744:WBK851749 VRO851744:VRO851749 VHS851744:VHS851749 UXW851744:UXW851749 UOA851744:UOA851749 UEE851744:UEE851749 TUI851744:TUI851749 TKM851744:TKM851749 TAQ851744:TAQ851749 SQU851744:SQU851749 SGY851744:SGY851749 RXC851744:RXC851749 RNG851744:RNG851749 RDK851744:RDK851749 QTO851744:QTO851749 QJS851744:QJS851749 PZW851744:PZW851749 PQA851744:PQA851749 PGE851744:PGE851749 OWI851744:OWI851749 OMM851744:OMM851749 OCQ851744:OCQ851749 NSU851744:NSU851749 NIY851744:NIY851749 MZC851744:MZC851749 MPG851744:MPG851749 MFK851744:MFK851749 LVO851744:LVO851749 LLS851744:LLS851749 LBW851744:LBW851749 KSA851744:KSA851749 KIE851744:KIE851749 JYI851744:JYI851749 JOM851744:JOM851749 JEQ851744:JEQ851749 IUU851744:IUU851749 IKY851744:IKY851749 IBC851744:IBC851749 HRG851744:HRG851749 HHK851744:HHK851749 GXO851744:GXO851749 GNS851744:GNS851749 GDW851744:GDW851749 FUA851744:FUA851749 FKE851744:FKE851749 FAI851744:FAI851749 EQM851744:EQM851749 EGQ851744:EGQ851749 DWU851744:DWU851749 DMY851744:DMY851749 DDC851744:DDC851749 CTG851744:CTG851749 CJK851744:CJK851749 BZO851744:BZO851749 BPS851744:BPS851749 BFW851744:BFW851749 AWA851744:AWA851749 AME851744:AME851749 ACI851744:ACI851749 SM851744:SM851749 IQ851744:IQ851749 WVC786208:WVC786213 WLG786208:WLG786213 WBK786208:WBK786213 VRO786208:VRO786213 VHS786208:VHS786213 UXW786208:UXW786213 UOA786208:UOA786213 UEE786208:UEE786213 TUI786208:TUI786213 TKM786208:TKM786213 TAQ786208:TAQ786213 SQU786208:SQU786213 SGY786208:SGY786213 RXC786208:RXC786213 RNG786208:RNG786213 RDK786208:RDK786213 QTO786208:QTO786213 QJS786208:QJS786213 PZW786208:PZW786213 PQA786208:PQA786213 PGE786208:PGE786213 OWI786208:OWI786213 OMM786208:OMM786213 OCQ786208:OCQ786213 NSU786208:NSU786213 NIY786208:NIY786213 MZC786208:MZC786213 MPG786208:MPG786213 MFK786208:MFK786213 LVO786208:LVO786213 LLS786208:LLS786213 LBW786208:LBW786213 KSA786208:KSA786213 KIE786208:KIE786213 JYI786208:JYI786213 JOM786208:JOM786213 JEQ786208:JEQ786213 IUU786208:IUU786213 IKY786208:IKY786213 IBC786208:IBC786213 HRG786208:HRG786213 HHK786208:HHK786213 GXO786208:GXO786213 GNS786208:GNS786213 GDW786208:GDW786213 FUA786208:FUA786213 FKE786208:FKE786213 FAI786208:FAI786213 EQM786208:EQM786213 EGQ786208:EGQ786213 DWU786208:DWU786213 DMY786208:DMY786213 DDC786208:DDC786213 CTG786208:CTG786213 CJK786208:CJK786213 BZO786208:BZO786213 BPS786208:BPS786213 BFW786208:BFW786213 AWA786208:AWA786213 AME786208:AME786213 ACI786208:ACI786213 SM786208:SM786213 IQ786208:IQ786213 WVC720672:WVC720677 WLG720672:WLG720677 WBK720672:WBK720677 VRO720672:VRO720677 VHS720672:VHS720677 UXW720672:UXW720677 UOA720672:UOA720677 UEE720672:UEE720677 TUI720672:TUI720677 TKM720672:TKM720677 TAQ720672:TAQ720677 SQU720672:SQU720677 SGY720672:SGY720677 RXC720672:RXC720677 RNG720672:RNG720677 RDK720672:RDK720677 QTO720672:QTO720677 QJS720672:QJS720677 PZW720672:PZW720677 PQA720672:PQA720677 PGE720672:PGE720677 OWI720672:OWI720677 OMM720672:OMM720677 OCQ720672:OCQ720677 NSU720672:NSU720677 NIY720672:NIY720677 MZC720672:MZC720677 MPG720672:MPG720677 MFK720672:MFK720677 LVO720672:LVO720677 LLS720672:LLS720677 LBW720672:LBW720677 KSA720672:KSA720677 KIE720672:KIE720677 JYI720672:JYI720677 JOM720672:JOM720677 JEQ720672:JEQ720677 IUU720672:IUU720677 IKY720672:IKY720677 IBC720672:IBC720677 HRG720672:HRG720677 HHK720672:HHK720677 GXO720672:GXO720677 GNS720672:GNS720677 GDW720672:GDW720677 FUA720672:FUA720677 FKE720672:FKE720677 FAI720672:FAI720677 EQM720672:EQM720677 EGQ720672:EGQ720677 DWU720672:DWU720677 DMY720672:DMY720677 DDC720672:DDC720677 CTG720672:CTG720677 CJK720672:CJK720677 BZO720672:BZO720677 BPS720672:BPS720677 BFW720672:BFW720677 AWA720672:AWA720677 AME720672:AME720677 ACI720672:ACI720677 SM720672:SM720677 IQ720672:IQ720677 WVC655136:WVC655141 WLG655136:WLG655141 WBK655136:WBK655141 VRO655136:VRO655141 VHS655136:VHS655141 UXW655136:UXW655141 UOA655136:UOA655141 UEE655136:UEE655141 TUI655136:TUI655141 TKM655136:TKM655141 TAQ655136:TAQ655141 SQU655136:SQU655141 SGY655136:SGY655141 RXC655136:RXC655141 RNG655136:RNG655141 RDK655136:RDK655141 QTO655136:QTO655141 QJS655136:QJS655141 PZW655136:PZW655141 PQA655136:PQA655141 PGE655136:PGE655141 OWI655136:OWI655141 OMM655136:OMM655141 OCQ655136:OCQ655141 NSU655136:NSU655141 NIY655136:NIY655141 MZC655136:MZC655141 MPG655136:MPG655141 MFK655136:MFK655141 LVO655136:LVO655141 LLS655136:LLS655141 LBW655136:LBW655141 KSA655136:KSA655141 KIE655136:KIE655141 JYI655136:JYI655141 JOM655136:JOM655141 JEQ655136:JEQ655141 IUU655136:IUU655141 IKY655136:IKY655141 IBC655136:IBC655141 HRG655136:HRG655141 HHK655136:HHK655141 GXO655136:GXO655141 GNS655136:GNS655141 GDW655136:GDW655141 FUA655136:FUA655141 FKE655136:FKE655141 FAI655136:FAI655141 EQM655136:EQM655141 EGQ655136:EGQ655141 DWU655136:DWU655141 DMY655136:DMY655141 DDC655136:DDC655141 CTG655136:CTG655141 CJK655136:CJK655141 BZO655136:BZO655141 BPS655136:BPS655141 BFW655136:BFW655141 AWA655136:AWA655141 AME655136:AME655141 ACI655136:ACI655141 SM655136:SM655141 IQ655136:IQ655141 WVC589600:WVC589605 WLG589600:WLG589605 WBK589600:WBK589605 VRO589600:VRO589605 VHS589600:VHS589605 UXW589600:UXW589605 UOA589600:UOA589605 UEE589600:UEE589605 TUI589600:TUI589605 TKM589600:TKM589605 TAQ589600:TAQ589605 SQU589600:SQU589605 SGY589600:SGY589605 RXC589600:RXC589605 RNG589600:RNG589605 RDK589600:RDK589605 QTO589600:QTO589605 QJS589600:QJS589605 PZW589600:PZW589605 PQA589600:PQA589605 PGE589600:PGE589605 OWI589600:OWI589605 OMM589600:OMM589605 OCQ589600:OCQ589605 NSU589600:NSU589605 NIY589600:NIY589605 MZC589600:MZC589605 MPG589600:MPG589605 MFK589600:MFK589605 LVO589600:LVO589605 LLS589600:LLS589605 LBW589600:LBW589605 KSA589600:KSA589605 KIE589600:KIE589605 JYI589600:JYI589605 JOM589600:JOM589605 JEQ589600:JEQ589605 IUU589600:IUU589605 IKY589600:IKY589605 IBC589600:IBC589605 HRG589600:HRG589605 HHK589600:HHK589605 GXO589600:GXO589605 GNS589600:GNS589605 GDW589600:GDW589605 FUA589600:FUA589605 FKE589600:FKE589605 FAI589600:FAI589605 EQM589600:EQM589605 EGQ589600:EGQ589605 DWU589600:DWU589605 DMY589600:DMY589605 DDC589600:DDC589605 CTG589600:CTG589605 CJK589600:CJK589605 BZO589600:BZO589605 BPS589600:BPS589605 BFW589600:BFW589605 AWA589600:AWA589605 AME589600:AME589605 ACI589600:ACI589605 SM589600:SM589605 IQ589600:IQ589605 WVC524064:WVC524069 WLG524064:WLG524069 WBK524064:WBK524069 VRO524064:VRO524069 VHS524064:VHS524069 UXW524064:UXW524069 UOA524064:UOA524069 UEE524064:UEE524069 TUI524064:TUI524069 TKM524064:TKM524069 TAQ524064:TAQ524069 SQU524064:SQU524069 SGY524064:SGY524069 RXC524064:RXC524069 RNG524064:RNG524069 RDK524064:RDK524069 QTO524064:QTO524069 QJS524064:QJS524069 PZW524064:PZW524069 PQA524064:PQA524069 PGE524064:PGE524069 OWI524064:OWI524069 OMM524064:OMM524069 OCQ524064:OCQ524069 NSU524064:NSU524069 NIY524064:NIY524069 MZC524064:MZC524069 MPG524064:MPG524069 MFK524064:MFK524069 LVO524064:LVO524069 LLS524064:LLS524069 LBW524064:LBW524069 KSA524064:KSA524069 KIE524064:KIE524069 JYI524064:JYI524069 JOM524064:JOM524069 JEQ524064:JEQ524069 IUU524064:IUU524069 IKY524064:IKY524069 IBC524064:IBC524069 HRG524064:HRG524069 HHK524064:HHK524069 GXO524064:GXO524069 GNS524064:GNS524069 GDW524064:GDW524069 FUA524064:FUA524069 FKE524064:FKE524069 FAI524064:FAI524069 EQM524064:EQM524069 EGQ524064:EGQ524069 DWU524064:DWU524069 DMY524064:DMY524069 DDC524064:DDC524069 CTG524064:CTG524069 CJK524064:CJK524069 BZO524064:BZO524069 BPS524064:BPS524069 BFW524064:BFW524069 AWA524064:AWA524069 AME524064:AME524069 ACI524064:ACI524069 SM524064:SM524069 IQ524064:IQ524069 WVC458528:WVC458533 WLG458528:WLG458533 WBK458528:WBK458533 VRO458528:VRO458533 VHS458528:VHS458533 UXW458528:UXW458533 UOA458528:UOA458533 UEE458528:UEE458533 TUI458528:TUI458533 TKM458528:TKM458533 TAQ458528:TAQ458533 SQU458528:SQU458533 SGY458528:SGY458533 RXC458528:RXC458533 RNG458528:RNG458533 RDK458528:RDK458533 QTO458528:QTO458533 QJS458528:QJS458533 PZW458528:PZW458533 PQA458528:PQA458533 PGE458528:PGE458533 OWI458528:OWI458533 OMM458528:OMM458533 OCQ458528:OCQ458533 NSU458528:NSU458533 NIY458528:NIY458533 MZC458528:MZC458533 MPG458528:MPG458533 MFK458528:MFK458533 LVO458528:LVO458533 LLS458528:LLS458533 LBW458528:LBW458533 KSA458528:KSA458533 KIE458528:KIE458533 JYI458528:JYI458533 JOM458528:JOM458533 JEQ458528:JEQ458533 IUU458528:IUU458533 IKY458528:IKY458533 IBC458528:IBC458533 HRG458528:HRG458533 HHK458528:HHK458533 GXO458528:GXO458533 GNS458528:GNS458533 GDW458528:GDW458533 FUA458528:FUA458533 FKE458528:FKE458533 FAI458528:FAI458533 EQM458528:EQM458533 EGQ458528:EGQ458533 DWU458528:DWU458533 DMY458528:DMY458533 DDC458528:DDC458533 CTG458528:CTG458533 CJK458528:CJK458533 BZO458528:BZO458533 BPS458528:BPS458533 BFW458528:BFW458533 AWA458528:AWA458533 AME458528:AME458533 ACI458528:ACI458533 SM458528:SM458533 IQ458528:IQ458533 WVC392992:WVC392997 WLG392992:WLG392997 WBK392992:WBK392997 VRO392992:VRO392997 VHS392992:VHS392997 UXW392992:UXW392997 UOA392992:UOA392997 UEE392992:UEE392997 TUI392992:TUI392997 TKM392992:TKM392997 TAQ392992:TAQ392997 SQU392992:SQU392997 SGY392992:SGY392997 RXC392992:RXC392997 RNG392992:RNG392997 RDK392992:RDK392997 QTO392992:QTO392997 QJS392992:QJS392997 PZW392992:PZW392997 PQA392992:PQA392997 PGE392992:PGE392997 OWI392992:OWI392997 OMM392992:OMM392997 OCQ392992:OCQ392997 NSU392992:NSU392997 NIY392992:NIY392997 MZC392992:MZC392997 MPG392992:MPG392997 MFK392992:MFK392997 LVO392992:LVO392997 LLS392992:LLS392997 LBW392992:LBW392997 KSA392992:KSA392997 KIE392992:KIE392997 JYI392992:JYI392997 JOM392992:JOM392997 JEQ392992:JEQ392997 IUU392992:IUU392997 IKY392992:IKY392997 IBC392992:IBC392997 HRG392992:HRG392997 HHK392992:HHK392997 GXO392992:GXO392997 GNS392992:GNS392997 GDW392992:GDW392997 FUA392992:FUA392997 FKE392992:FKE392997 FAI392992:FAI392997 EQM392992:EQM392997 EGQ392992:EGQ392997 DWU392992:DWU392997 DMY392992:DMY392997 DDC392992:DDC392997 CTG392992:CTG392997 CJK392992:CJK392997 BZO392992:BZO392997 BPS392992:BPS392997 BFW392992:BFW392997 AWA392992:AWA392997 AME392992:AME392997 ACI392992:ACI392997 SM392992:SM392997 IQ392992:IQ392997 WVC327456:WVC327461 WLG327456:WLG327461 WBK327456:WBK327461 VRO327456:VRO327461 VHS327456:VHS327461 UXW327456:UXW327461 UOA327456:UOA327461 UEE327456:UEE327461 TUI327456:TUI327461 TKM327456:TKM327461 TAQ327456:TAQ327461 SQU327456:SQU327461 SGY327456:SGY327461 RXC327456:RXC327461 RNG327456:RNG327461 RDK327456:RDK327461 QTO327456:QTO327461 QJS327456:QJS327461 PZW327456:PZW327461 PQA327456:PQA327461 PGE327456:PGE327461 OWI327456:OWI327461 OMM327456:OMM327461 OCQ327456:OCQ327461 NSU327456:NSU327461 NIY327456:NIY327461 MZC327456:MZC327461 MPG327456:MPG327461 MFK327456:MFK327461 LVO327456:LVO327461 LLS327456:LLS327461 LBW327456:LBW327461 KSA327456:KSA327461 KIE327456:KIE327461 JYI327456:JYI327461 JOM327456:JOM327461 JEQ327456:JEQ327461 IUU327456:IUU327461 IKY327456:IKY327461 IBC327456:IBC327461 HRG327456:HRG327461 HHK327456:HHK327461 GXO327456:GXO327461 GNS327456:GNS327461 GDW327456:GDW327461 FUA327456:FUA327461 FKE327456:FKE327461 FAI327456:FAI327461 EQM327456:EQM327461 EGQ327456:EGQ327461 DWU327456:DWU327461 DMY327456:DMY327461 DDC327456:DDC327461 CTG327456:CTG327461 CJK327456:CJK327461 BZO327456:BZO327461 BPS327456:BPS327461 BFW327456:BFW327461 AWA327456:AWA327461 AME327456:AME327461 ACI327456:ACI327461 SM327456:SM327461 IQ327456:IQ327461 WVC261920:WVC261925 WLG261920:WLG261925 WBK261920:WBK261925 VRO261920:VRO261925 VHS261920:VHS261925 UXW261920:UXW261925 UOA261920:UOA261925 UEE261920:UEE261925 TUI261920:TUI261925 TKM261920:TKM261925 TAQ261920:TAQ261925 SQU261920:SQU261925 SGY261920:SGY261925 RXC261920:RXC261925 RNG261920:RNG261925 RDK261920:RDK261925 QTO261920:QTO261925 QJS261920:QJS261925 PZW261920:PZW261925 PQA261920:PQA261925 PGE261920:PGE261925 OWI261920:OWI261925 OMM261920:OMM261925 OCQ261920:OCQ261925 NSU261920:NSU261925 NIY261920:NIY261925 MZC261920:MZC261925 MPG261920:MPG261925 MFK261920:MFK261925 LVO261920:LVO261925 LLS261920:LLS261925 LBW261920:LBW261925 KSA261920:KSA261925 KIE261920:KIE261925 JYI261920:JYI261925 JOM261920:JOM261925 JEQ261920:JEQ261925 IUU261920:IUU261925 IKY261920:IKY261925 IBC261920:IBC261925 HRG261920:HRG261925 HHK261920:HHK261925 GXO261920:GXO261925 GNS261920:GNS261925 GDW261920:GDW261925 FUA261920:FUA261925 FKE261920:FKE261925 FAI261920:FAI261925 EQM261920:EQM261925 EGQ261920:EGQ261925 DWU261920:DWU261925 DMY261920:DMY261925 DDC261920:DDC261925 CTG261920:CTG261925 CJK261920:CJK261925 BZO261920:BZO261925 BPS261920:BPS261925 BFW261920:BFW261925 AWA261920:AWA261925 AME261920:AME261925 ACI261920:ACI261925 SM261920:SM261925 IQ261920:IQ261925 WVC196384:WVC196389 WLG196384:WLG196389 WBK196384:WBK196389 VRO196384:VRO196389 VHS196384:VHS196389 UXW196384:UXW196389 UOA196384:UOA196389 UEE196384:UEE196389 TUI196384:TUI196389 TKM196384:TKM196389 TAQ196384:TAQ196389 SQU196384:SQU196389 SGY196384:SGY196389 RXC196384:RXC196389 RNG196384:RNG196389 RDK196384:RDK196389 QTO196384:QTO196389 QJS196384:QJS196389 PZW196384:PZW196389 PQA196384:PQA196389 PGE196384:PGE196389 OWI196384:OWI196389 OMM196384:OMM196389 OCQ196384:OCQ196389 NSU196384:NSU196389 NIY196384:NIY196389 MZC196384:MZC196389 MPG196384:MPG196389 MFK196384:MFK196389 LVO196384:LVO196389 LLS196384:LLS196389 LBW196384:LBW196389 KSA196384:KSA196389 KIE196384:KIE196389 JYI196384:JYI196389 JOM196384:JOM196389 JEQ196384:JEQ196389 IUU196384:IUU196389 IKY196384:IKY196389 IBC196384:IBC196389 HRG196384:HRG196389 HHK196384:HHK196389 GXO196384:GXO196389 GNS196384:GNS196389 GDW196384:GDW196389 FUA196384:FUA196389 FKE196384:FKE196389 FAI196384:FAI196389 EQM196384:EQM196389 EGQ196384:EGQ196389 DWU196384:DWU196389 DMY196384:DMY196389 DDC196384:DDC196389 CTG196384:CTG196389 CJK196384:CJK196389 BZO196384:BZO196389 BPS196384:BPS196389 BFW196384:BFW196389 AWA196384:AWA196389 AME196384:AME196389 ACI196384:ACI196389 SM196384:SM196389 IQ196384:IQ196389 WVC130848:WVC130853 WLG130848:WLG130853 WBK130848:WBK130853 VRO130848:VRO130853 VHS130848:VHS130853 UXW130848:UXW130853 UOA130848:UOA130853 UEE130848:UEE130853 TUI130848:TUI130853 TKM130848:TKM130853 TAQ130848:TAQ130853 SQU130848:SQU130853 SGY130848:SGY130853 RXC130848:RXC130853 RNG130848:RNG130853 RDK130848:RDK130853 QTO130848:QTO130853 QJS130848:QJS130853 PZW130848:PZW130853 PQA130848:PQA130853 PGE130848:PGE130853 OWI130848:OWI130853 OMM130848:OMM130853 OCQ130848:OCQ130853 NSU130848:NSU130853 NIY130848:NIY130853 MZC130848:MZC130853 MPG130848:MPG130853 MFK130848:MFK130853 LVO130848:LVO130853 LLS130848:LLS130853 LBW130848:LBW130853 KSA130848:KSA130853 KIE130848:KIE130853 JYI130848:JYI130853 JOM130848:JOM130853 JEQ130848:JEQ130853 IUU130848:IUU130853 IKY130848:IKY130853 IBC130848:IBC130853 HRG130848:HRG130853 HHK130848:HHK130853 GXO130848:GXO130853 GNS130848:GNS130853 GDW130848:GDW130853 FUA130848:FUA130853 FKE130848:FKE130853 FAI130848:FAI130853 EQM130848:EQM130853 EGQ130848:EGQ130853 DWU130848:DWU130853 DMY130848:DMY130853 DDC130848:DDC130853 CTG130848:CTG130853 CJK130848:CJK130853 BZO130848:BZO130853 BPS130848:BPS130853 BFW130848:BFW130853 AWA130848:AWA130853 AME130848:AME130853 ACI130848:ACI130853 SM130848:SM130853 IQ130848:IQ130853 WVC65312:WVC65317 WLG65312:WLG65317 WBK65312:WBK65317 VRO65312:VRO65317 VHS65312:VHS65317 UXW65312:UXW65317 UOA65312:UOA65317 UEE65312:UEE65317 TUI65312:TUI65317 TKM65312:TKM65317 TAQ65312:TAQ65317 SQU65312:SQU65317 SGY65312:SGY65317 RXC65312:RXC65317 RNG65312:RNG65317 RDK65312:RDK65317 QTO65312:QTO65317 QJS65312:QJS65317 PZW65312:PZW65317 PQA65312:PQA65317 PGE65312:PGE65317 OWI65312:OWI65317 OMM65312:OMM65317 OCQ65312:OCQ65317 NSU65312:NSU65317 NIY65312:NIY65317 MZC65312:MZC65317 MPG65312:MPG65317 MFK65312:MFK65317 LVO65312:LVO65317 LLS65312:LLS65317 LBW65312:LBW65317 KSA65312:KSA65317 KIE65312:KIE65317 JYI65312:JYI65317 JOM65312:JOM65317 JEQ65312:JEQ65317 IUU65312:IUU65317 IKY65312:IKY65317 IBC65312:IBC65317 HRG65312:HRG65317 HHK65312:HHK65317 GXO65312:GXO65317 GNS65312:GNS65317 GDW65312:GDW65317 FUA65312:FUA65317 FKE65312:FKE65317 FAI65312:FAI65317 EQM65312:EQM65317 EGQ65312:EGQ65317 DWU65312:DWU65317 DMY65312:DMY65317 DDC65312:DDC65317 CTG65312:CTG65317 CJK65312:CJK65317 BZO65312:BZO65317 BPS65312:BPS65317 BFW65312:BFW65317 AWA65312:AWA65317 AME65312:AME65317 ACI65312:ACI65317 SM65312:SM65317 IQ65312:IQ65317 WUP982763:WUP982799 TJZ982763:TJZ982799 TAD982763:TAD982799 WAX982763:WAX982799 VRB982763:VRB982799 VHF982763:VHF982799 UXJ982763:UXJ982799 UNN982763:UNN982799 UDR982763:UDR982799 TTV982763:TTV982799 WKT982763:WKT982799 RWP982763:RWP982799 P917226:P917262 P851690:P851726 P786154:P786190 P720618:P720654 P655082:P655118 P589546:P589582 P524010:P524046 P458474:P458510 P392938:P392974 P327402:P327438 P261866:P261902 P196330:P196366 P130794:P130830 P65258:P65294 P982762:P982798" xr:uid="{00000000-0002-0000-0200-000005000000}">
      <formula1>1</formula1>
      <formula2>100000</formula2>
    </dataValidation>
  </dataValidations>
  <pageMargins left="0.7" right="0.7" top="0.75" bottom="0.75" header="0.3" footer="0.3"/>
  <pageSetup paperSize="9"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xr:uid="{00000000-0002-0000-0300-000006000000}">
          <x14:formula1>
            <xm:f>1</xm:f>
          </x14:formula1>
          <x14:formula2>
            <xm:f>100000</xm:f>
          </x14:formula2>
          <xm:sqref>E86:E102 E982762:E982851 WLG55:WLG59 WBK55:WBK59 VRO55:VRO59 VHS55:VHS59 UXW55:UXW59 UOA55:UOA59 UEE55:UEE59 TUI55:TUI59 TKM55:TKM59 TAQ55:TAQ59 SQU55:SQU59 SGY55:SGY59 RXC55:RXC59 RNG55:RNG59 RDK55:RDK59 QTO55:QTO59 QJS55:QJS59 PZW55:PZW59 PQA55:PQA59 PGE55:PGE59 OWI55:OWI59 OMM55:OMM59 OCQ55:OCQ59 NSU55:NSU59 NIY55:NIY59 MZC55:MZC59 MPG55:MPG59 MFK55:MFK59 LVO55:LVO59 LLS55:LLS59 LBW55:LBW59 KSA55:KSA59 KIE55:KIE59 JYI55:JYI59 JOM55:JOM59 JEQ55:JEQ59 IUU55:IUU59 IKY55:IKY59 IBC55:IBC59 HRG55:HRG59 HHK55:HHK59 GXO55:GXO59 GNS55:GNS59 GDW55:GDW59 FUA55:FUA59 FKE55:FKE59 FAI55:FAI59 EQM55:EQM59 EGQ55:EGQ59 DWU55:DWU59 DMY55:DMY59 DDC55:DDC59 CTG55:CTG59 CJK55:CJK59 BZO55:BZO59 BPS55:BPS59 BFW55:BFW59 AWA55:AWA59 AME55:AME59 ACI55:ACI59 SM55:SM59 IQ55:IQ59 WVC48:WVC51 WLG48:WLG51 WBK48:WBK51 VRO48:VRO51 VHS48:VHS51 UXW48:UXW51 UOA48:UOA51 UEE48:UEE51 TUI48:TUI51 TKM48:TKM51 TAQ48:TAQ51 SQU48:SQU51 SGY48:SGY51 RXC48:RXC51 RNG48:RNG51 RDK48:RDK51 QTO48:QTO51 QJS48:QJS51 PZW48:PZW51 PQA48:PQA51 PGE48:PGE51 OWI48:OWI51 OMM48:OMM51 OCQ48:OCQ51 NSU48:NSU51 NIY48:NIY51 MZC48:MZC51 MPG48:MPG51 MFK48:MFK51 LVO48:LVO51 LLS48:LLS51 LBW48:LBW51 KSA48:KSA51 KIE48:KIE51 JYI48:JYI51 JOM48:JOM51 JEQ48:JEQ51 IUU48:IUU51 IKY48:IKY51 IBC48:IBC51 HRG48:HRG51 HHK48:HHK51 GXO48:GXO51 GNS48:GNS51 GDW48:GDW51 FUA48:FUA51 FKE48:FKE51 FAI48:FAI51 EQM48:EQM51 EGQ48:EGQ51 DWU48:DWU51 DMY48:DMY51 DDC48:DDC51 CTG48:CTG51 CJK48:CJK51 BZO48:BZO51 BPS48:BPS51 BFW48:BFW51 AWA48:AWA51 AME48:AME51 ACI48:ACI51 SM48:SM51 IQ48:IQ51 WVC64:WVC68 WLG64:WLG68 WBK64:WBK68 VRO64:VRO68 VHS64:VHS68 UXW64:UXW68 UOA64:UOA68 UEE64:UEE68 TUI64:TUI68 TKM64:TKM68 TAQ64:TAQ68 SQU64:SQU68 SGY64:SGY68 RXC64:RXC68 RNG64:RNG68 RDK64:RDK68 QTO64:QTO68 QJS64:QJS68 PZW64:PZW68 PQA64:PQA68 PGE64:PGE68 OWI64:OWI68 OMM64:OMM68 OCQ64:OCQ68 NSU64:NSU68 NIY64:NIY68 MZC64:MZC68 MPG64:MPG68 MFK64:MFK68 LVO64:LVO68 LLS64:LLS68 LBW64:LBW68 KSA64:KSA68 KIE64:KIE68 JYI64:JYI68 JOM64:JOM68 JEQ64:JEQ68 IUU64:IUU68 IKY64:IKY68 IBC64:IBC68 HRG64:HRG68 HHK64:HHK68 GXO64:GXO68 GNS64:GNS68 GDW64:GDW68 FUA64:FUA68 FKE64:FKE68 FAI64:FAI68 EQM64:EQM68 EGQ64:EGQ68 DWU64:DWU68 DMY64:DMY68 DDC64:DDC68 CTG64:CTG68 CJK64:CJK68 BZO64:BZO68 BPS64:BPS68 BFW64:BFW68 AWA64:AWA68 AME64:AME68 ACI64:ACI68 SM64:SM68 IQ64:IQ68 WVJ64:WVJ68 WLN64:WLN68 WBR64:WBR68 VRV64:VRV68 VHZ64:VHZ68 UYD64:UYD68 UOH64:UOH68 UEL64:UEL68 TUP64:TUP68 TKT64:TKT68 TAX64:TAX68 SRB64:SRB68 SHF64:SHF68 RXJ64:RXJ68 RNN64:RNN68 RDR64:RDR68 QTV64:QTV68 QJZ64:QJZ68 QAD64:QAD68 PQH64:PQH68 PGL64:PGL68 OWP64:OWP68 OMT64:OMT68 OCX64:OCX68 NTB64:NTB68 NJF64:NJF68 MZJ64:MZJ68 MPN64:MPN68 MFR64:MFR68 LVV64:LVV68 LLZ64:LLZ68 LCD64:LCD68 KSH64:KSH68 KIL64:KIL68 JYP64:JYP68 JOT64:JOT68 JEX64:JEX68 IVB64:IVB68 ILF64:ILF68 IBJ64:IBJ68 HRN64:HRN68 HHR64:HHR68 GXV64:GXV68 GNZ64:GNZ68 GED64:GED68 FUH64:FUH68 FKL64:FKL68 FAP64:FAP68 EQT64:EQT68 EGX64:EGX68 DXB64:DXB68 DNF64:DNF68 DDJ64:DDJ68 CTN64:CTN68 CJR64:CJR68 BZV64:BZV68 BPZ64:BPZ68 BGD64:BGD68 AWH64:AWH68 AML64:AML68 ACP64:ACP68 ST64:ST68 IX64:IX68 WVC78:WVC79 WLG78:WLG79 WBK78:WBK79 VRO78:VRO79 VHS78:VHS79 UXW78:UXW79 UOA78:UOA79 UEE78:UEE79 TUI78:TUI79 TKM78:TKM79 TAQ78:TAQ79 SQU78:SQU79 SGY78:SGY79 RXC78:RXC79 RNG78:RNG79 RDK78:RDK79 QTO78:QTO79 QJS78:QJS79 PZW78:PZW79 PQA78:PQA79 PGE78:PGE79 OWI78:OWI79 OMM78:OMM79 OCQ78:OCQ79 NSU78:NSU79 NIY78:NIY79 MZC78:MZC79 MPG78:MPG79 MFK78:MFK79 LVO78:LVO79 LLS78:LLS79 LBW78:LBW79 KSA78:KSA79 KIE78:KIE79 JYI78:JYI79 JOM78:JOM79 JEQ78:JEQ79 IUU78:IUU79 IKY78:IKY79 IBC78:IBC79 HRG78:HRG79 HHK78:HHK79 GXO78:GXO79 GNS78:GNS79 GDW78:GDW79 FUA78:FUA79 FKE78:FKE79 FAI78:FAI79 EQM78:EQM79 EGQ78:EGQ79 DWU78:DWU79 DMY78:DMY79 DDC78:DDC79 CTG78:CTG79 CJK78:CJK79 BZO78:BZO79 BPS78:BPS79 BFW78:BFW79 AWA78:AWA79 AME78:AME79 ACI78:ACI79 SM78:SM79 IQ78:IQ79 HS10:HS88 RO10:RO88 ABK10:ABK88 ALG10:ALG88 AVC10:AVC88 BEY10:BEY88 BOU10:BOU88 BYQ10:BYQ88 CIM10:CIM88 CSI10:CSI88 DCE10:DCE88 DMA10:DMA88 DVW10:DVW88 EFS10:EFS88 EPO10:EPO88 EZK10:EZK88 FJG10:FJG88 FTC10:FTC88 GCY10:GCY88 GMU10:GMU88 GWQ10:GWQ88 HGM10:HGM88 HQI10:HQI88 IAE10:IAE88 IKA10:IKA88 ITW10:ITW88 JDS10:JDS88 JNO10:JNO88 JXK10:JXK88 KHG10:KHG88 KRC10:KRC88 LAY10:LAY88 LKU10:LKU88 LUQ10:LUQ88 MEM10:MEM88 MOI10:MOI88 MYE10:MYE88 NIA10:NIA88 NRW10:NRW88 OBS10:OBS88 OLO10:OLO88 OVK10:OVK88 PFG10:PFG88 PPC10:PPC88 PYY10:PYY88 QIU10:QIU88 QSQ10:QSQ88 RCM10:RCM88 RMI10:RMI88 RWE10:RWE88 SGA10:SGA88 SPW10:SPW88 SZS10:SZS88 TJO10:TJO88 TTK10:TTK88 UDG10:UDG88 UNC10:UNC88 UWY10:UWY88 VGU10:VGU88 VQQ10:VQQ88 WAM10:WAM88 WKI10:WKI88 WUE10:WUE88 IQ41:IQ42 SM41:SM42 ACI41:ACI42 AME41:AME42 AWA41:AWA42 BFW41:BFW42 BPS41:BPS42 BZO41:BZO42 CJK41:CJK42 CTG41:CTG42 DDC41:DDC42 DMY41:DMY42 DWU41:DWU42 EGQ41:EGQ42 EQM41:EQM42 FAI41:FAI42 FKE41:FKE42 FUA41:FUA42 GDW41:GDW42 GNS41:GNS42 GXO41:GXO42 HHK41:HHK42 HRG41:HRG42 IBC41:IBC42 IKY41:IKY42 IUU41:IUU42 JEQ41:JEQ42 JOM41:JOM42 JYI41:JYI42 KIE41:KIE42 KSA41:KSA42 LBW41:LBW42 LLS41:LLS42 LVO41:LVO42 MFK41:MFK42 MPG41:MPG42 MZC41:MZC42 NIY41:NIY42 NSU41:NSU42 OCQ41:OCQ42 OMM41:OMM42 OWI41:OWI42 PGE41:PGE42 PQA41:PQA42 PZW41:PZW42 QJS41:QJS42 QTO41:QTO42 RDK41:RDK42 RNG41:RNG42 RXC41:RXC42 SGY41:SGY42 SQU41:SQU42 TAQ41:TAQ42 TKM41:TKM42 TUI41:TUI42 UEE41:UEE42 UOA41:UOA42 UXW41:UXW42 VHS41:VHS42 VRO41:VRO42 WBK41:WBK42 WLG41:WLG42 WVC41:WVC42 IP38 SL38 ACH38 AMD38 AVZ38 BFV38 BPR38 BZN38 CJJ38 CTF38 DDB38 DMX38 DWT38 EGP38 EQL38 FAH38 FKD38 FTZ38 GDV38 GNR38 GXN38 HHJ38 HRF38 IBB38 IKX38 IUT38 JEP38 JOL38 JYH38 KID38 KRZ38 LBV38 LLR38 LVN38 MFJ38 MPF38 MZB38 NIX38 NST38 OCP38 OML38 OWH38 PGD38 PPZ38 PZV38 QJR38 QTN38 RDJ38 RNF38 RXB38 SGX38 SQT38 TAP38 TKL38 TUH38 UED38 UNZ38 UXV38 VHR38 VRN38 WBJ38 WLF38 WVB38 E7 WVC55:WVC59 WBJ982785 WVB982785 VRN982785 UNZ982785 UED982785 TUH982785 TKL982785 TAP982785 SQT982785 SGX982785 RXB982785 RNF982785 RDJ982785 QTN982785 QJR982785 PZV982785 PPZ982785 PGD982785 OWH982785 OML982785 OCP982785 NST982785 NIX982785 MZB982785 MPF982785 MFJ982785 LVN982785 LLR982785 LBV982785 KRZ982785 KID982785 JYH982785 JOL982785 JEP982785 IUT982785 IKX982785 IBB982785 HRF982785 HHJ982785 GXN982785 GNR982785 GDV982785 FTZ982785 FKD982785 FAH982785 EQL982785 EGP982785 DWT982785 DMX982785 DDB982785 CTF982785 CJJ982785 BZN982785 BPR982785 BFV982785 AVZ982785 AMD982785 ACH982785 SL982785 IP982785 WVB917249 WLF917249 WBJ917249 VRN917249 VHR917249 UXV917249 UNZ917249 UED917249 TUH917249 TKL917249 TAP917249 SQT917249 SGX917249 RXB917249 RNF917249 RDJ917249 QTN917249 QJR917249 PZV917249 PPZ917249 PGD917249 OWH917249 OML917249 OCP917249 NST917249 NIX917249 MZB917249 MPF917249 MFJ917249 LVN917249 LLR917249 LBV917249 KRZ917249 KID917249 JYH917249 JOL917249 JEP917249 IUT917249 IKX917249 IBB917249 HRF917249 HHJ917249 GXN917249 GNR917249 GDV917249 FTZ917249 FKD917249 FAH917249 EQL917249 EGP917249 DWT917249 DMX917249 DDB917249 CTF917249 CJJ917249 BZN917249 BPR917249 BFV917249 AVZ917249 AMD917249 ACH917249 SL917249 IP917249 WVB851713 WLF851713 WBJ851713 VRN851713 VHR851713 UXV851713 UNZ851713 UED851713 TUH851713 TKL851713 TAP851713 SQT851713 SGX851713 RXB851713 RNF851713 RDJ851713 QTN851713 QJR851713 PZV851713 PPZ851713 PGD851713 OWH851713 OML851713 OCP851713 NST851713 NIX851713 MZB851713 MPF851713 MFJ851713 LVN851713 LLR851713 LBV851713 KRZ851713 KID851713 JYH851713 JOL851713 JEP851713 IUT851713 IKX851713 IBB851713 HRF851713 HHJ851713 GXN851713 GNR851713 GDV851713 FTZ851713 FKD851713 FAH851713 EQL851713 EGP851713 DWT851713 DMX851713 DDB851713 CTF851713 CJJ851713 BZN851713 BPR851713 BFV851713 AVZ851713 AMD851713 ACH851713 SL851713 IP851713 WVB786177 WLF786177 WBJ786177 VRN786177 VHR786177 UXV786177 UNZ786177 UED786177 TUH786177 TKL786177 TAP786177 SQT786177 SGX786177 RXB786177 RNF786177 RDJ786177 QTN786177 QJR786177 PZV786177 PPZ786177 PGD786177 OWH786177 OML786177 OCP786177 NST786177 NIX786177 MZB786177 MPF786177 MFJ786177 LVN786177 LLR786177 LBV786177 KRZ786177 KID786177 JYH786177 JOL786177 JEP786177 IUT786177 IKX786177 IBB786177 HRF786177 HHJ786177 GXN786177 GNR786177 GDV786177 FTZ786177 FKD786177 FAH786177 EQL786177 EGP786177 DWT786177 DMX786177 DDB786177 CTF786177 CJJ786177 BZN786177 BPR786177 BFV786177 AVZ786177 AMD786177 ACH786177 SL786177 IP786177 WVB720641 WLF720641 WBJ720641 VRN720641 VHR720641 UXV720641 UNZ720641 UED720641 TUH720641 TKL720641 TAP720641 SQT720641 SGX720641 RXB720641 RNF720641 RDJ720641 QTN720641 QJR720641 PZV720641 PPZ720641 PGD720641 OWH720641 OML720641 OCP720641 NST720641 NIX720641 MZB720641 MPF720641 MFJ720641 LVN720641 LLR720641 LBV720641 KRZ720641 KID720641 JYH720641 JOL720641 JEP720641 IUT720641 IKX720641 IBB720641 HRF720641 HHJ720641 GXN720641 GNR720641 GDV720641 FTZ720641 FKD720641 FAH720641 EQL720641 EGP720641 DWT720641 DMX720641 DDB720641 CTF720641 CJJ720641 BZN720641 BPR720641 BFV720641 AVZ720641 AMD720641 ACH720641 SL720641 IP720641 WVB655105 WLF655105 WBJ655105 VRN655105 VHR655105 UXV655105 UNZ655105 UED655105 TUH655105 TKL655105 TAP655105 SQT655105 SGX655105 RXB655105 RNF655105 RDJ655105 QTN655105 QJR655105 PZV655105 PPZ655105 PGD655105 OWH655105 OML655105 OCP655105 NST655105 NIX655105 MZB655105 MPF655105 MFJ655105 LVN655105 LLR655105 LBV655105 KRZ655105 KID655105 JYH655105 JOL655105 JEP655105 IUT655105 IKX655105 IBB655105 HRF655105 HHJ655105 GXN655105 GNR655105 GDV655105 FTZ655105 FKD655105 FAH655105 EQL655105 EGP655105 DWT655105 DMX655105 DDB655105 CTF655105 CJJ655105 BZN655105 BPR655105 BFV655105 AVZ655105 AMD655105 ACH655105 SL655105 IP655105 WVB589569 WLF589569 WBJ589569 VRN589569 VHR589569 UXV589569 UNZ589569 UED589569 TUH589569 TKL589569 TAP589569 SQT589569 SGX589569 RXB589569 RNF589569 RDJ589569 QTN589569 QJR589569 PZV589569 PPZ589569 PGD589569 OWH589569 OML589569 OCP589569 NST589569 NIX589569 MZB589569 MPF589569 MFJ589569 LVN589569 LLR589569 LBV589569 KRZ589569 KID589569 JYH589569 JOL589569 JEP589569 IUT589569 IKX589569 IBB589569 HRF589569 HHJ589569 GXN589569 GNR589569 GDV589569 FTZ589569 FKD589569 FAH589569 EQL589569 EGP589569 DWT589569 DMX589569 DDB589569 CTF589569 CJJ589569 BZN589569 BPR589569 BFV589569 AVZ589569 AMD589569 ACH589569 SL589569 IP589569 WVB524033 WLF524033 WBJ524033 VRN524033 VHR524033 UXV524033 UNZ524033 UED524033 TUH524033 TKL524033 TAP524033 SQT524033 SGX524033 RXB524033 RNF524033 RDJ524033 QTN524033 QJR524033 PZV524033 PPZ524033 PGD524033 OWH524033 OML524033 OCP524033 NST524033 NIX524033 MZB524033 MPF524033 MFJ524033 LVN524033 LLR524033 LBV524033 KRZ524033 KID524033 JYH524033 JOL524033 JEP524033 IUT524033 IKX524033 IBB524033 HRF524033 HHJ524033 GXN524033 GNR524033 GDV524033 FTZ524033 FKD524033 FAH524033 EQL524033 EGP524033 DWT524033 DMX524033 DDB524033 CTF524033 CJJ524033 BZN524033 BPR524033 BFV524033 AVZ524033 AMD524033 ACH524033 SL524033 IP524033 WVB458497 WLF458497 WBJ458497 VRN458497 VHR458497 UXV458497 UNZ458497 UED458497 TUH458497 TKL458497 TAP458497 SQT458497 SGX458497 RXB458497 RNF458497 RDJ458497 QTN458497 QJR458497 PZV458497 PPZ458497 PGD458497 OWH458497 OML458497 OCP458497 NST458497 NIX458497 MZB458497 MPF458497 MFJ458497 LVN458497 LLR458497 LBV458497 KRZ458497 KID458497 JYH458497 JOL458497 JEP458497 IUT458497 IKX458497 IBB458497 HRF458497 HHJ458497 GXN458497 GNR458497 GDV458497 FTZ458497 FKD458497 FAH458497 EQL458497 EGP458497 DWT458497 DMX458497 DDB458497 CTF458497 CJJ458497 BZN458497 BPR458497 BFV458497 AVZ458497 AMD458497 ACH458497 SL458497 IP458497 WVB392961 WLF392961 WBJ392961 VRN392961 VHR392961 UXV392961 UNZ392961 UED392961 TUH392961 TKL392961 TAP392961 SQT392961 SGX392961 RXB392961 RNF392961 RDJ392961 QTN392961 QJR392961 PZV392961 PPZ392961 PGD392961 OWH392961 OML392961 OCP392961 NST392961 NIX392961 MZB392961 MPF392961 MFJ392961 LVN392961 LLR392961 LBV392961 KRZ392961 KID392961 JYH392961 JOL392961 JEP392961 IUT392961 IKX392961 IBB392961 HRF392961 HHJ392961 GXN392961 GNR392961 GDV392961 FTZ392961 FKD392961 FAH392961 EQL392961 EGP392961 DWT392961 DMX392961 DDB392961 CTF392961 CJJ392961 BZN392961 BPR392961 BFV392961 AVZ392961 AMD392961 ACH392961 SL392961 IP392961 WVB327425 WLF327425 WBJ327425 VRN327425 VHR327425 UXV327425 UNZ327425 UED327425 TUH327425 TKL327425 TAP327425 SQT327425 SGX327425 RXB327425 RNF327425 RDJ327425 QTN327425 QJR327425 PZV327425 PPZ327425 PGD327425 OWH327425 OML327425 OCP327425 NST327425 NIX327425 MZB327425 MPF327425 MFJ327425 LVN327425 LLR327425 LBV327425 KRZ327425 KID327425 JYH327425 JOL327425 JEP327425 IUT327425 IKX327425 IBB327425 HRF327425 HHJ327425 GXN327425 GNR327425 GDV327425 FTZ327425 FKD327425 FAH327425 EQL327425 EGP327425 DWT327425 DMX327425 DDB327425 CTF327425 CJJ327425 BZN327425 BPR327425 BFV327425 AVZ327425 AMD327425 ACH327425 SL327425 IP327425 WVB261889 WLF261889 WBJ261889 VRN261889 VHR261889 UXV261889 UNZ261889 UED261889 TUH261889 TKL261889 TAP261889 SQT261889 SGX261889 RXB261889 RNF261889 RDJ261889 QTN261889 QJR261889 PZV261889 PPZ261889 PGD261889 OWH261889 OML261889 OCP261889 NST261889 NIX261889 MZB261889 MPF261889 MFJ261889 LVN261889 LLR261889 LBV261889 KRZ261889 KID261889 JYH261889 JOL261889 JEP261889 IUT261889 IKX261889 IBB261889 HRF261889 HHJ261889 GXN261889 GNR261889 GDV261889 FTZ261889 FKD261889 FAH261889 EQL261889 EGP261889 DWT261889 DMX261889 DDB261889 CTF261889 CJJ261889 BZN261889 BPR261889 BFV261889 AVZ261889 AMD261889 ACH261889 SL261889 IP261889 WVB196353 WLF196353 WBJ196353 VRN196353 VHR196353 UXV196353 UNZ196353 UED196353 TUH196353 TKL196353 TAP196353 SQT196353 SGX196353 RXB196353 RNF196353 RDJ196353 QTN196353 QJR196353 PZV196353 PPZ196353 PGD196353 OWH196353 OML196353 OCP196353 NST196353 NIX196353 MZB196353 MPF196353 MFJ196353 LVN196353 LLR196353 LBV196353 KRZ196353 KID196353 JYH196353 JOL196353 JEP196353 IUT196353 IKX196353 IBB196353 HRF196353 HHJ196353 GXN196353 GNR196353 GDV196353 FTZ196353 FKD196353 FAH196353 EQL196353 EGP196353 DWT196353 DMX196353 DDB196353 CTF196353 CJJ196353 BZN196353 BPR196353 BFV196353 AVZ196353 AMD196353 ACH196353 SL196353 IP196353 WVB130817 WLF130817 WBJ130817 VRN130817 VHR130817 UXV130817 UNZ130817 UED130817 TUH130817 TKL130817 TAP130817 SQT130817 SGX130817 RXB130817 RNF130817 RDJ130817 QTN130817 QJR130817 PZV130817 PPZ130817 PGD130817 OWH130817 OML130817 OCP130817 NST130817 NIX130817 MZB130817 MPF130817 MFJ130817 LVN130817 LLR130817 LBV130817 KRZ130817 KID130817 JYH130817 JOL130817 JEP130817 IUT130817 IKX130817 IBB130817 HRF130817 HHJ130817 GXN130817 GNR130817 GDV130817 FTZ130817 FKD130817 FAH130817 EQL130817 EGP130817 DWT130817 DMX130817 DDB130817 CTF130817 CJJ130817 BZN130817 BPR130817 BFV130817 AVZ130817 AMD130817 ACH130817 SL130817 IP130817 WVB65281 WLF65281 WBJ65281 VRN65281 VHR65281 UXV65281 UNZ65281 UED65281 TUH65281 TKL65281 TAP65281 SQT65281 SGX65281 RXB65281 RNF65281 RDJ65281 QTN65281 QJR65281 PZV65281 PPZ65281 PGD65281 OWH65281 OML65281 OCP65281 NST65281 NIX65281 MZB65281 MPF65281 MFJ65281 LVN65281 LLR65281 LBV65281 KRZ65281 KID65281 JYH65281 JOL65281 JEP65281 IUT65281 IKX65281 IBB65281 HRF65281 HHJ65281 GXN65281 GNR65281 GDV65281 FTZ65281 FKD65281 FAH65281 EQL65281 EGP65281 DWT65281 DMX65281 DDB65281 CTF65281 CJJ65281 BZN65281 BPR65281 BFV65281 AVZ65281 AMD65281 ACH65281 SL65281 IP65281 WVC982826:WVC982834 WLG982826:WLG982834 WBK982826:WBK982834 VRO982826:VRO982834 VHS982826:VHS982834 UXW982826:UXW982834 UOA982826:UOA982834 UEE982826:UEE982834 TUI982826:TUI982834 TKM982826:TKM982834 TAQ982826:TAQ982834 SQU982826:SQU982834 SGY982826:SGY982834 RXC982826:RXC982834 RNG982826:RNG982834 RDK982826:RDK982834 QTO982826:QTO982834 QJS982826:QJS982834 PZW982826:PZW982834 PQA982826:PQA982834 PGE982826:PGE982834 OWI982826:OWI982834 OMM982826:OMM982834 OCQ982826:OCQ982834 NSU982826:NSU982834 NIY982826:NIY982834 MZC982826:MZC982834 MPG982826:MPG982834 MFK982826:MFK982834 LVO982826:LVO982834 LLS982826:LLS982834 LBW982826:LBW982834 KSA982826:KSA982834 KIE982826:KIE982834 JYI982826:JYI982834 JOM982826:JOM982834 JEQ982826:JEQ982834 IUU982826:IUU982834 IKY982826:IKY982834 IBC982826:IBC982834 HRG982826:HRG982834 HHK982826:HHK982834 GXO982826:GXO982834 GNS982826:GNS982834 GDW982826:GDW982834 FUA982826:FUA982834 FKE982826:FKE982834 FAI982826:FAI982834 EQM982826:EQM982834 EGQ982826:EGQ982834 DWU982826:DWU982834 DMY982826:DMY982834 DDC982826:DDC982834 CTG982826:CTG982834 CJK982826:CJK982834 BZO982826:BZO982834 BPS982826:BPS982834 BFW982826:BFW982834 AWA982826:AWA982834 AME982826:AME982834 ACI982826:ACI982834 SM982826:SM982834 IQ982826:IQ982834 WVC917290:WVC917298 WLG917290:WLG917298 WBK917290:WBK917298 VRO917290:VRO917298 VHS917290:VHS917298 UXW917290:UXW917298 UOA917290:UOA917298 UEE917290:UEE917298 TUI917290:TUI917298 TKM917290:TKM917298 TAQ917290:TAQ917298 SQU917290:SQU917298 SGY917290:SGY917298 RXC917290:RXC917298 RNG917290:RNG917298 RDK917290:RDK917298 QTO917290:QTO917298 QJS917290:QJS917298 PZW917290:PZW917298 PQA917290:PQA917298 PGE917290:PGE917298 OWI917290:OWI917298 OMM917290:OMM917298 OCQ917290:OCQ917298 NSU917290:NSU917298 NIY917290:NIY917298 MZC917290:MZC917298 MPG917290:MPG917298 MFK917290:MFK917298 LVO917290:LVO917298 LLS917290:LLS917298 LBW917290:LBW917298 KSA917290:KSA917298 KIE917290:KIE917298 JYI917290:JYI917298 JOM917290:JOM917298 JEQ917290:JEQ917298 IUU917290:IUU917298 IKY917290:IKY917298 IBC917290:IBC917298 HRG917290:HRG917298 HHK917290:HHK917298 GXO917290:GXO917298 GNS917290:GNS917298 GDW917290:GDW917298 FUA917290:FUA917298 FKE917290:FKE917298 FAI917290:FAI917298 EQM917290:EQM917298 EGQ917290:EGQ917298 DWU917290:DWU917298 DMY917290:DMY917298 DDC917290:DDC917298 CTG917290:CTG917298 CJK917290:CJK917298 BZO917290:BZO917298 BPS917290:BPS917298 BFW917290:BFW917298 AWA917290:AWA917298 AME917290:AME917298 ACI917290:ACI917298 SM917290:SM917298 IQ917290:IQ917298 WVC851754:WVC851762 WLG851754:WLG851762 WBK851754:WBK851762 VRO851754:VRO851762 VHS851754:VHS851762 UXW851754:UXW851762 UOA851754:UOA851762 UEE851754:UEE851762 TUI851754:TUI851762 TKM851754:TKM851762 TAQ851754:TAQ851762 SQU851754:SQU851762 SGY851754:SGY851762 RXC851754:RXC851762 RNG851754:RNG851762 RDK851754:RDK851762 QTO851754:QTO851762 QJS851754:QJS851762 PZW851754:PZW851762 PQA851754:PQA851762 PGE851754:PGE851762 OWI851754:OWI851762 OMM851754:OMM851762 OCQ851754:OCQ851762 NSU851754:NSU851762 NIY851754:NIY851762 MZC851754:MZC851762 MPG851754:MPG851762 MFK851754:MFK851762 LVO851754:LVO851762 LLS851754:LLS851762 LBW851754:LBW851762 KSA851754:KSA851762 KIE851754:KIE851762 JYI851754:JYI851762 JOM851754:JOM851762 JEQ851754:JEQ851762 IUU851754:IUU851762 IKY851754:IKY851762 IBC851754:IBC851762 HRG851754:HRG851762 HHK851754:HHK851762 GXO851754:GXO851762 GNS851754:GNS851762 GDW851754:GDW851762 FUA851754:FUA851762 FKE851754:FKE851762 FAI851754:FAI851762 EQM851754:EQM851762 EGQ851754:EGQ851762 DWU851754:DWU851762 DMY851754:DMY851762 DDC851754:DDC851762 CTG851754:CTG851762 CJK851754:CJK851762 BZO851754:BZO851762 BPS851754:BPS851762 BFW851754:BFW851762 AWA851754:AWA851762 AME851754:AME851762 ACI851754:ACI851762 SM851754:SM851762 IQ851754:IQ851762 WVC786218:WVC786226 WLG786218:WLG786226 WBK786218:WBK786226 VRO786218:VRO786226 VHS786218:VHS786226 UXW786218:UXW786226 UOA786218:UOA786226 UEE786218:UEE786226 TUI786218:TUI786226 TKM786218:TKM786226 TAQ786218:TAQ786226 SQU786218:SQU786226 SGY786218:SGY786226 RXC786218:RXC786226 RNG786218:RNG786226 RDK786218:RDK786226 QTO786218:QTO786226 QJS786218:QJS786226 PZW786218:PZW786226 PQA786218:PQA786226 PGE786218:PGE786226 OWI786218:OWI786226 OMM786218:OMM786226 OCQ786218:OCQ786226 NSU786218:NSU786226 NIY786218:NIY786226 MZC786218:MZC786226 MPG786218:MPG786226 MFK786218:MFK786226 LVO786218:LVO786226 LLS786218:LLS786226 LBW786218:LBW786226 KSA786218:KSA786226 KIE786218:KIE786226 JYI786218:JYI786226 JOM786218:JOM786226 JEQ786218:JEQ786226 IUU786218:IUU786226 IKY786218:IKY786226 IBC786218:IBC786226 HRG786218:HRG786226 HHK786218:HHK786226 GXO786218:GXO786226 GNS786218:GNS786226 GDW786218:GDW786226 FUA786218:FUA786226 FKE786218:FKE786226 FAI786218:FAI786226 EQM786218:EQM786226 EGQ786218:EGQ786226 DWU786218:DWU786226 DMY786218:DMY786226 DDC786218:DDC786226 CTG786218:CTG786226 CJK786218:CJK786226 BZO786218:BZO786226 BPS786218:BPS786226 BFW786218:BFW786226 AWA786218:AWA786226 AME786218:AME786226 ACI786218:ACI786226 SM786218:SM786226 IQ786218:IQ786226 WVC720682:WVC720690 WLG720682:WLG720690 WBK720682:WBK720690 VRO720682:VRO720690 VHS720682:VHS720690 UXW720682:UXW720690 UOA720682:UOA720690 UEE720682:UEE720690 TUI720682:TUI720690 TKM720682:TKM720690 TAQ720682:TAQ720690 SQU720682:SQU720690 SGY720682:SGY720690 RXC720682:RXC720690 RNG720682:RNG720690 RDK720682:RDK720690 QTO720682:QTO720690 QJS720682:QJS720690 PZW720682:PZW720690 PQA720682:PQA720690 PGE720682:PGE720690 OWI720682:OWI720690 OMM720682:OMM720690 OCQ720682:OCQ720690 NSU720682:NSU720690 NIY720682:NIY720690 MZC720682:MZC720690 MPG720682:MPG720690 MFK720682:MFK720690 LVO720682:LVO720690 LLS720682:LLS720690 LBW720682:LBW720690 KSA720682:KSA720690 KIE720682:KIE720690 JYI720682:JYI720690 JOM720682:JOM720690 JEQ720682:JEQ720690 IUU720682:IUU720690 IKY720682:IKY720690 IBC720682:IBC720690 HRG720682:HRG720690 HHK720682:HHK720690 GXO720682:GXO720690 GNS720682:GNS720690 GDW720682:GDW720690 FUA720682:FUA720690 FKE720682:FKE720690 FAI720682:FAI720690 EQM720682:EQM720690 EGQ720682:EGQ720690 DWU720682:DWU720690 DMY720682:DMY720690 DDC720682:DDC720690 CTG720682:CTG720690 CJK720682:CJK720690 BZO720682:BZO720690 BPS720682:BPS720690 BFW720682:BFW720690 AWA720682:AWA720690 AME720682:AME720690 ACI720682:ACI720690 SM720682:SM720690 IQ720682:IQ720690 WVC655146:WVC655154 WLG655146:WLG655154 WBK655146:WBK655154 VRO655146:VRO655154 VHS655146:VHS655154 UXW655146:UXW655154 UOA655146:UOA655154 UEE655146:UEE655154 TUI655146:TUI655154 TKM655146:TKM655154 TAQ655146:TAQ655154 SQU655146:SQU655154 SGY655146:SGY655154 RXC655146:RXC655154 RNG655146:RNG655154 RDK655146:RDK655154 QTO655146:QTO655154 QJS655146:QJS655154 PZW655146:PZW655154 PQA655146:PQA655154 PGE655146:PGE655154 OWI655146:OWI655154 OMM655146:OMM655154 OCQ655146:OCQ655154 NSU655146:NSU655154 NIY655146:NIY655154 MZC655146:MZC655154 MPG655146:MPG655154 MFK655146:MFK655154 LVO655146:LVO655154 LLS655146:LLS655154 LBW655146:LBW655154 KSA655146:KSA655154 KIE655146:KIE655154 JYI655146:JYI655154 JOM655146:JOM655154 JEQ655146:JEQ655154 IUU655146:IUU655154 IKY655146:IKY655154 IBC655146:IBC655154 HRG655146:HRG655154 HHK655146:HHK655154 GXO655146:GXO655154 GNS655146:GNS655154 GDW655146:GDW655154 FUA655146:FUA655154 FKE655146:FKE655154 FAI655146:FAI655154 EQM655146:EQM655154 EGQ655146:EGQ655154 DWU655146:DWU655154 DMY655146:DMY655154 DDC655146:DDC655154 CTG655146:CTG655154 CJK655146:CJK655154 BZO655146:BZO655154 BPS655146:BPS655154 BFW655146:BFW655154 AWA655146:AWA655154 AME655146:AME655154 ACI655146:ACI655154 SM655146:SM655154 IQ655146:IQ655154 WVC589610:WVC589618 WLG589610:WLG589618 WBK589610:WBK589618 VRO589610:VRO589618 VHS589610:VHS589618 UXW589610:UXW589618 UOA589610:UOA589618 UEE589610:UEE589618 TUI589610:TUI589618 TKM589610:TKM589618 TAQ589610:TAQ589618 SQU589610:SQU589618 SGY589610:SGY589618 RXC589610:RXC589618 RNG589610:RNG589618 RDK589610:RDK589618 QTO589610:QTO589618 QJS589610:QJS589618 PZW589610:PZW589618 PQA589610:PQA589618 PGE589610:PGE589618 OWI589610:OWI589618 OMM589610:OMM589618 OCQ589610:OCQ589618 NSU589610:NSU589618 NIY589610:NIY589618 MZC589610:MZC589618 MPG589610:MPG589618 MFK589610:MFK589618 LVO589610:LVO589618 LLS589610:LLS589618 LBW589610:LBW589618 KSA589610:KSA589618 KIE589610:KIE589618 JYI589610:JYI589618 JOM589610:JOM589618 JEQ589610:JEQ589618 IUU589610:IUU589618 IKY589610:IKY589618 IBC589610:IBC589618 HRG589610:HRG589618 HHK589610:HHK589618 GXO589610:GXO589618 GNS589610:GNS589618 GDW589610:GDW589618 FUA589610:FUA589618 FKE589610:FKE589618 FAI589610:FAI589618 EQM589610:EQM589618 EGQ589610:EGQ589618 DWU589610:DWU589618 DMY589610:DMY589618 DDC589610:DDC589618 CTG589610:CTG589618 CJK589610:CJK589618 BZO589610:BZO589618 BPS589610:BPS589618 BFW589610:BFW589618 AWA589610:AWA589618 AME589610:AME589618 ACI589610:ACI589618 SM589610:SM589618 IQ589610:IQ589618 WVC524074:WVC524082 WLG524074:WLG524082 WBK524074:WBK524082 VRO524074:VRO524082 VHS524074:VHS524082 UXW524074:UXW524082 UOA524074:UOA524082 UEE524074:UEE524082 TUI524074:TUI524082 TKM524074:TKM524082 TAQ524074:TAQ524082 SQU524074:SQU524082 SGY524074:SGY524082 RXC524074:RXC524082 RNG524074:RNG524082 RDK524074:RDK524082 QTO524074:QTO524082 QJS524074:QJS524082 PZW524074:PZW524082 PQA524074:PQA524082 PGE524074:PGE524082 OWI524074:OWI524082 OMM524074:OMM524082 OCQ524074:OCQ524082 NSU524074:NSU524082 NIY524074:NIY524082 MZC524074:MZC524082 MPG524074:MPG524082 MFK524074:MFK524082 LVO524074:LVO524082 LLS524074:LLS524082 LBW524074:LBW524082 KSA524074:KSA524082 KIE524074:KIE524082 JYI524074:JYI524082 JOM524074:JOM524082 JEQ524074:JEQ524082 IUU524074:IUU524082 IKY524074:IKY524082 IBC524074:IBC524082 HRG524074:HRG524082 HHK524074:HHK524082 GXO524074:GXO524082 GNS524074:GNS524082 GDW524074:GDW524082 FUA524074:FUA524082 FKE524074:FKE524082 FAI524074:FAI524082 EQM524074:EQM524082 EGQ524074:EGQ524082 DWU524074:DWU524082 DMY524074:DMY524082 DDC524074:DDC524082 CTG524074:CTG524082 CJK524074:CJK524082 BZO524074:BZO524082 BPS524074:BPS524082 BFW524074:BFW524082 AWA524074:AWA524082 AME524074:AME524082 ACI524074:ACI524082 SM524074:SM524082 IQ524074:IQ524082 WVC458538:WVC458546 WLG458538:WLG458546 WBK458538:WBK458546 VRO458538:VRO458546 VHS458538:VHS458546 UXW458538:UXW458546 UOA458538:UOA458546 UEE458538:UEE458546 TUI458538:TUI458546 TKM458538:TKM458546 TAQ458538:TAQ458546 SQU458538:SQU458546 SGY458538:SGY458546 RXC458538:RXC458546 RNG458538:RNG458546 RDK458538:RDK458546 QTO458538:QTO458546 QJS458538:QJS458546 PZW458538:PZW458546 PQA458538:PQA458546 PGE458538:PGE458546 OWI458538:OWI458546 OMM458538:OMM458546 OCQ458538:OCQ458546 NSU458538:NSU458546 NIY458538:NIY458546 MZC458538:MZC458546 MPG458538:MPG458546 MFK458538:MFK458546 LVO458538:LVO458546 LLS458538:LLS458546 LBW458538:LBW458546 KSA458538:KSA458546 KIE458538:KIE458546 JYI458538:JYI458546 JOM458538:JOM458546 JEQ458538:JEQ458546 IUU458538:IUU458546 IKY458538:IKY458546 IBC458538:IBC458546 HRG458538:HRG458546 HHK458538:HHK458546 GXO458538:GXO458546 GNS458538:GNS458546 GDW458538:GDW458546 FUA458538:FUA458546 FKE458538:FKE458546 FAI458538:FAI458546 EQM458538:EQM458546 EGQ458538:EGQ458546 DWU458538:DWU458546 DMY458538:DMY458546 DDC458538:DDC458546 CTG458538:CTG458546 CJK458538:CJK458546 BZO458538:BZO458546 BPS458538:BPS458546 BFW458538:BFW458546 AWA458538:AWA458546 AME458538:AME458546 ACI458538:ACI458546 SM458538:SM458546 IQ458538:IQ458546 WVC393002:WVC393010 WLG393002:WLG393010 WBK393002:WBK393010 VRO393002:VRO393010 VHS393002:VHS393010 UXW393002:UXW393010 UOA393002:UOA393010 UEE393002:UEE393010 TUI393002:TUI393010 TKM393002:TKM393010 TAQ393002:TAQ393010 SQU393002:SQU393010 SGY393002:SGY393010 RXC393002:RXC393010 RNG393002:RNG393010 RDK393002:RDK393010 QTO393002:QTO393010 QJS393002:QJS393010 PZW393002:PZW393010 PQA393002:PQA393010 PGE393002:PGE393010 OWI393002:OWI393010 OMM393002:OMM393010 OCQ393002:OCQ393010 NSU393002:NSU393010 NIY393002:NIY393010 MZC393002:MZC393010 MPG393002:MPG393010 MFK393002:MFK393010 LVO393002:LVO393010 LLS393002:LLS393010 LBW393002:LBW393010 KSA393002:KSA393010 KIE393002:KIE393010 JYI393002:JYI393010 JOM393002:JOM393010 JEQ393002:JEQ393010 IUU393002:IUU393010 IKY393002:IKY393010 IBC393002:IBC393010 HRG393002:HRG393010 HHK393002:HHK393010 GXO393002:GXO393010 GNS393002:GNS393010 GDW393002:GDW393010 FUA393002:FUA393010 FKE393002:FKE393010 FAI393002:FAI393010 EQM393002:EQM393010 EGQ393002:EGQ393010 DWU393002:DWU393010 DMY393002:DMY393010 DDC393002:DDC393010 CTG393002:CTG393010 CJK393002:CJK393010 BZO393002:BZO393010 BPS393002:BPS393010 BFW393002:BFW393010 AWA393002:AWA393010 AME393002:AME393010 ACI393002:ACI393010 SM393002:SM393010 IQ393002:IQ393010 WVC327466:WVC327474 WLG327466:WLG327474 WBK327466:WBK327474 VRO327466:VRO327474 VHS327466:VHS327474 UXW327466:UXW327474 UOA327466:UOA327474 UEE327466:UEE327474 TUI327466:TUI327474 TKM327466:TKM327474 TAQ327466:TAQ327474 SQU327466:SQU327474 SGY327466:SGY327474 RXC327466:RXC327474 RNG327466:RNG327474 RDK327466:RDK327474 QTO327466:QTO327474 QJS327466:QJS327474 PZW327466:PZW327474 PQA327466:PQA327474 PGE327466:PGE327474 OWI327466:OWI327474 OMM327466:OMM327474 OCQ327466:OCQ327474 NSU327466:NSU327474 NIY327466:NIY327474 MZC327466:MZC327474 MPG327466:MPG327474 MFK327466:MFK327474 LVO327466:LVO327474 LLS327466:LLS327474 LBW327466:LBW327474 KSA327466:KSA327474 KIE327466:KIE327474 JYI327466:JYI327474 JOM327466:JOM327474 JEQ327466:JEQ327474 IUU327466:IUU327474 IKY327466:IKY327474 IBC327466:IBC327474 HRG327466:HRG327474 HHK327466:HHK327474 GXO327466:GXO327474 GNS327466:GNS327474 GDW327466:GDW327474 FUA327466:FUA327474 FKE327466:FKE327474 FAI327466:FAI327474 EQM327466:EQM327474 EGQ327466:EGQ327474 DWU327466:DWU327474 DMY327466:DMY327474 DDC327466:DDC327474 CTG327466:CTG327474 CJK327466:CJK327474 BZO327466:BZO327474 BPS327466:BPS327474 BFW327466:BFW327474 AWA327466:AWA327474 AME327466:AME327474 ACI327466:ACI327474 SM327466:SM327474 IQ327466:IQ327474 WVC261930:WVC261938 WLG261930:WLG261938 WBK261930:WBK261938 VRO261930:VRO261938 VHS261930:VHS261938 UXW261930:UXW261938 UOA261930:UOA261938 UEE261930:UEE261938 TUI261930:TUI261938 TKM261930:TKM261938 TAQ261930:TAQ261938 SQU261930:SQU261938 SGY261930:SGY261938 RXC261930:RXC261938 RNG261930:RNG261938 RDK261930:RDK261938 QTO261930:QTO261938 QJS261930:QJS261938 PZW261930:PZW261938 PQA261930:PQA261938 PGE261930:PGE261938 OWI261930:OWI261938 OMM261930:OMM261938 OCQ261930:OCQ261938 NSU261930:NSU261938 NIY261930:NIY261938 MZC261930:MZC261938 MPG261930:MPG261938 MFK261930:MFK261938 LVO261930:LVO261938 LLS261930:LLS261938 LBW261930:LBW261938 KSA261930:KSA261938 KIE261930:KIE261938 JYI261930:JYI261938 JOM261930:JOM261938 JEQ261930:JEQ261938 IUU261930:IUU261938 IKY261930:IKY261938 IBC261930:IBC261938 HRG261930:HRG261938 HHK261930:HHK261938 GXO261930:GXO261938 GNS261930:GNS261938 GDW261930:GDW261938 FUA261930:FUA261938 FKE261930:FKE261938 FAI261930:FAI261938 EQM261930:EQM261938 EGQ261930:EGQ261938 DWU261930:DWU261938 DMY261930:DMY261938 DDC261930:DDC261938 CTG261930:CTG261938 CJK261930:CJK261938 BZO261930:BZO261938 BPS261930:BPS261938 BFW261930:BFW261938 AWA261930:AWA261938 AME261930:AME261938 ACI261930:ACI261938 SM261930:SM261938 IQ261930:IQ261938 WVC196394:WVC196402 WLG196394:WLG196402 WBK196394:WBK196402 VRO196394:VRO196402 VHS196394:VHS196402 UXW196394:UXW196402 UOA196394:UOA196402 UEE196394:UEE196402 TUI196394:TUI196402 TKM196394:TKM196402 TAQ196394:TAQ196402 SQU196394:SQU196402 SGY196394:SGY196402 RXC196394:RXC196402 RNG196394:RNG196402 RDK196394:RDK196402 QTO196394:QTO196402 QJS196394:QJS196402 PZW196394:PZW196402 PQA196394:PQA196402 PGE196394:PGE196402 OWI196394:OWI196402 OMM196394:OMM196402 OCQ196394:OCQ196402 NSU196394:NSU196402 NIY196394:NIY196402 MZC196394:MZC196402 MPG196394:MPG196402 MFK196394:MFK196402 LVO196394:LVO196402 LLS196394:LLS196402 LBW196394:LBW196402 KSA196394:KSA196402 KIE196394:KIE196402 JYI196394:JYI196402 JOM196394:JOM196402 JEQ196394:JEQ196402 IUU196394:IUU196402 IKY196394:IKY196402 IBC196394:IBC196402 HRG196394:HRG196402 HHK196394:HHK196402 GXO196394:GXO196402 GNS196394:GNS196402 GDW196394:GDW196402 FUA196394:FUA196402 FKE196394:FKE196402 FAI196394:FAI196402 EQM196394:EQM196402 EGQ196394:EGQ196402 DWU196394:DWU196402 DMY196394:DMY196402 DDC196394:DDC196402 CTG196394:CTG196402 CJK196394:CJK196402 BZO196394:BZO196402 BPS196394:BPS196402 BFW196394:BFW196402 AWA196394:AWA196402 AME196394:AME196402 ACI196394:ACI196402 SM196394:SM196402 IQ196394:IQ196402 WVC130858:WVC130866 WLG130858:WLG130866 WBK130858:WBK130866 VRO130858:VRO130866 VHS130858:VHS130866 UXW130858:UXW130866 UOA130858:UOA130866 UEE130858:UEE130866 TUI130858:TUI130866 TKM130858:TKM130866 TAQ130858:TAQ130866 SQU130858:SQU130866 SGY130858:SGY130866 RXC130858:RXC130866 RNG130858:RNG130866 RDK130858:RDK130866 QTO130858:QTO130866 QJS130858:QJS130866 PZW130858:PZW130866 PQA130858:PQA130866 PGE130858:PGE130866 OWI130858:OWI130866 OMM130858:OMM130866 OCQ130858:OCQ130866 NSU130858:NSU130866 NIY130858:NIY130866 MZC130858:MZC130866 MPG130858:MPG130866 MFK130858:MFK130866 LVO130858:LVO130866 LLS130858:LLS130866 LBW130858:LBW130866 KSA130858:KSA130866 KIE130858:KIE130866 JYI130858:JYI130866 JOM130858:JOM130866 JEQ130858:JEQ130866 IUU130858:IUU130866 IKY130858:IKY130866 IBC130858:IBC130866 HRG130858:HRG130866 HHK130858:HHK130866 GXO130858:GXO130866 GNS130858:GNS130866 GDW130858:GDW130866 FUA130858:FUA130866 FKE130858:FKE130866 FAI130858:FAI130866 EQM130858:EQM130866 EGQ130858:EGQ130866 DWU130858:DWU130866 DMY130858:DMY130866 DDC130858:DDC130866 CTG130858:CTG130866 CJK130858:CJK130866 BZO130858:BZO130866 BPS130858:BPS130866 BFW130858:BFW130866 AWA130858:AWA130866 AME130858:AME130866 ACI130858:ACI130866 SM130858:SM130866 IQ130858:IQ130866 WVC65322:WVC65330 WLG65322:WLG65330 WBK65322:WBK65330 VRO65322:VRO65330 VHS65322:VHS65330 UXW65322:UXW65330 UOA65322:UOA65330 UEE65322:UEE65330 TUI65322:TUI65330 TKM65322:TKM65330 TAQ65322:TAQ65330 SQU65322:SQU65330 SGY65322:SGY65330 RXC65322:RXC65330 RNG65322:RNG65330 RDK65322:RDK65330 QTO65322:QTO65330 QJS65322:QJS65330 PZW65322:PZW65330 PQA65322:PQA65330 PGE65322:PGE65330 OWI65322:OWI65330 OMM65322:OMM65330 OCQ65322:OCQ65330 NSU65322:NSU65330 NIY65322:NIY65330 MZC65322:MZC65330 MPG65322:MPG65330 MFK65322:MFK65330 LVO65322:LVO65330 LLS65322:LLS65330 LBW65322:LBW65330 KSA65322:KSA65330 KIE65322:KIE65330 JYI65322:JYI65330 JOM65322:JOM65330 JEQ65322:JEQ65330 IUU65322:IUU65330 IKY65322:IKY65330 IBC65322:IBC65330 HRG65322:HRG65330 HHK65322:HHK65330 GXO65322:GXO65330 GNS65322:GNS65330 GDW65322:GDW65330 FUA65322:FUA65330 FKE65322:FKE65330 FAI65322:FAI65330 EQM65322:EQM65330 EGQ65322:EGQ65330 DWU65322:DWU65330 DMY65322:DMY65330 DDC65322:DDC65330 CTG65322:CTG65330 CJK65322:CJK65330 BZO65322:BZO65330 BPS65322:BPS65330 BFW65322:BFW65330 AWA65322:AWA65330 AME65322:AME65330 ACI65322:ACI65330 SM65322:SM65330 IQ65322:IQ65330 WVC982839:WVC982845 WLG982839:WLG982845 WBK982839:WBK982845 VRO982839:VRO982845 VHS982839:VHS982845 UXW982839:UXW982845 UOA982839:UOA982845 UEE982839:UEE982845 TUI982839:TUI982845 TKM982839:TKM982845 TAQ982839:TAQ982845 SQU982839:SQU982845 SGY982839:SGY982845 RXC982839:RXC982845 RNG982839:RNG982845 RDK982839:RDK982845 QTO982839:QTO982845 QJS982839:QJS982845 PZW982839:PZW982845 PQA982839:PQA982845 PGE982839:PGE982845 OWI982839:OWI982845 OMM982839:OMM982845 OCQ982839:OCQ982845 NSU982839:NSU982845 NIY982839:NIY982845 MZC982839:MZC982845 MPG982839:MPG982845 MFK982839:MFK982845 LVO982839:LVO982845 LLS982839:LLS982845 LBW982839:LBW982845 KSA982839:KSA982845 KIE982839:KIE982845 JYI982839:JYI982845 JOM982839:JOM982845 JEQ982839:JEQ982845 IUU982839:IUU982845 IKY982839:IKY982845 IBC982839:IBC982845 HRG982839:HRG982845 HHK982839:HHK982845 GXO982839:GXO982845 GNS982839:GNS982845 GDW982839:GDW982845 FUA982839:FUA982845 FKE982839:FKE982845 FAI982839:FAI982845 EQM982839:EQM982845 EGQ982839:EGQ982845 DWU982839:DWU982845 DMY982839:DMY982845 DDC982839:DDC982845 CTG982839:CTG982845 CJK982839:CJK982845 BZO982839:BZO982845 BPS982839:BPS982845 BFW982839:BFW982845 AWA982839:AWA982845 AME982839:AME982845 ACI982839:ACI982845 SM982839:SM982845 IQ982839:IQ982845 WVC917303:WVC917309 WLG917303:WLG917309 WBK917303:WBK917309 VRO917303:VRO917309 VHS917303:VHS917309 UXW917303:UXW917309 UOA917303:UOA917309 UEE917303:UEE917309 TUI917303:TUI917309 TKM917303:TKM917309 TAQ917303:TAQ917309 SQU917303:SQU917309 SGY917303:SGY917309 RXC917303:RXC917309 RNG917303:RNG917309 RDK917303:RDK917309 QTO917303:QTO917309 QJS917303:QJS917309 PZW917303:PZW917309 PQA917303:PQA917309 PGE917303:PGE917309 OWI917303:OWI917309 OMM917303:OMM917309 OCQ917303:OCQ917309 NSU917303:NSU917309 NIY917303:NIY917309 MZC917303:MZC917309 MPG917303:MPG917309 MFK917303:MFK917309 LVO917303:LVO917309 LLS917303:LLS917309 LBW917303:LBW917309 KSA917303:KSA917309 KIE917303:KIE917309 JYI917303:JYI917309 JOM917303:JOM917309 JEQ917303:JEQ917309 IUU917303:IUU917309 IKY917303:IKY917309 IBC917303:IBC917309 HRG917303:HRG917309 HHK917303:HHK917309 GXO917303:GXO917309 GNS917303:GNS917309 GDW917303:GDW917309 FUA917303:FUA917309 FKE917303:FKE917309 FAI917303:FAI917309 EQM917303:EQM917309 EGQ917303:EGQ917309 DWU917303:DWU917309 DMY917303:DMY917309 DDC917303:DDC917309 CTG917303:CTG917309 CJK917303:CJK917309 BZO917303:BZO917309 BPS917303:BPS917309 BFW917303:BFW917309 AWA917303:AWA917309 AME917303:AME917309 ACI917303:ACI917309 SM917303:SM917309 IQ917303:IQ917309 WVC851767:WVC851773 WLG851767:WLG851773 WBK851767:WBK851773 VRO851767:VRO851773 VHS851767:VHS851773 UXW851767:UXW851773 UOA851767:UOA851773 UEE851767:UEE851773 TUI851767:TUI851773 TKM851767:TKM851773 TAQ851767:TAQ851773 SQU851767:SQU851773 SGY851767:SGY851773 RXC851767:RXC851773 RNG851767:RNG851773 RDK851767:RDK851773 QTO851767:QTO851773 QJS851767:QJS851773 PZW851767:PZW851773 PQA851767:PQA851773 PGE851767:PGE851773 OWI851767:OWI851773 OMM851767:OMM851773 OCQ851767:OCQ851773 NSU851767:NSU851773 NIY851767:NIY851773 MZC851767:MZC851773 MPG851767:MPG851773 MFK851767:MFK851773 LVO851767:LVO851773 LLS851767:LLS851773 LBW851767:LBW851773 KSA851767:KSA851773 KIE851767:KIE851773 JYI851767:JYI851773 JOM851767:JOM851773 JEQ851767:JEQ851773 IUU851767:IUU851773 IKY851767:IKY851773 IBC851767:IBC851773 HRG851767:HRG851773 HHK851767:HHK851773 GXO851767:GXO851773 GNS851767:GNS851773 GDW851767:GDW851773 FUA851767:FUA851773 FKE851767:FKE851773 FAI851767:FAI851773 EQM851767:EQM851773 EGQ851767:EGQ851773 DWU851767:DWU851773 DMY851767:DMY851773 DDC851767:DDC851773 CTG851767:CTG851773 CJK851767:CJK851773 BZO851767:BZO851773 BPS851767:BPS851773 BFW851767:BFW851773 AWA851767:AWA851773 AME851767:AME851773 ACI851767:ACI851773 SM851767:SM851773 IQ851767:IQ851773 WVC786231:WVC786237 WLG786231:WLG786237 WBK786231:WBK786237 VRO786231:VRO786237 VHS786231:VHS786237 UXW786231:UXW786237 UOA786231:UOA786237 UEE786231:UEE786237 TUI786231:TUI786237 TKM786231:TKM786237 TAQ786231:TAQ786237 SQU786231:SQU786237 SGY786231:SGY786237 RXC786231:RXC786237 RNG786231:RNG786237 RDK786231:RDK786237 QTO786231:QTO786237 QJS786231:QJS786237 PZW786231:PZW786237 PQA786231:PQA786237 PGE786231:PGE786237 OWI786231:OWI786237 OMM786231:OMM786237 OCQ786231:OCQ786237 NSU786231:NSU786237 NIY786231:NIY786237 MZC786231:MZC786237 MPG786231:MPG786237 MFK786231:MFK786237 LVO786231:LVO786237 LLS786231:LLS786237 LBW786231:LBW786237 KSA786231:KSA786237 KIE786231:KIE786237 JYI786231:JYI786237 JOM786231:JOM786237 JEQ786231:JEQ786237 IUU786231:IUU786237 IKY786231:IKY786237 IBC786231:IBC786237 HRG786231:HRG786237 HHK786231:HHK786237 GXO786231:GXO786237 GNS786231:GNS786237 GDW786231:GDW786237 FUA786231:FUA786237 FKE786231:FKE786237 FAI786231:FAI786237 EQM786231:EQM786237 EGQ786231:EGQ786237 DWU786231:DWU786237 DMY786231:DMY786237 DDC786231:DDC786237 CTG786231:CTG786237 CJK786231:CJK786237 BZO786231:BZO786237 BPS786231:BPS786237 BFW786231:BFW786237 AWA786231:AWA786237 AME786231:AME786237 ACI786231:ACI786237 SM786231:SM786237 IQ786231:IQ786237 WVC720695:WVC720701 WLG720695:WLG720701 WBK720695:WBK720701 VRO720695:VRO720701 VHS720695:VHS720701 UXW720695:UXW720701 UOA720695:UOA720701 UEE720695:UEE720701 TUI720695:TUI720701 TKM720695:TKM720701 TAQ720695:TAQ720701 SQU720695:SQU720701 SGY720695:SGY720701 RXC720695:RXC720701 RNG720695:RNG720701 RDK720695:RDK720701 QTO720695:QTO720701 QJS720695:QJS720701 PZW720695:PZW720701 PQA720695:PQA720701 PGE720695:PGE720701 OWI720695:OWI720701 OMM720695:OMM720701 OCQ720695:OCQ720701 NSU720695:NSU720701 NIY720695:NIY720701 MZC720695:MZC720701 MPG720695:MPG720701 MFK720695:MFK720701 LVO720695:LVO720701 LLS720695:LLS720701 LBW720695:LBW720701 KSA720695:KSA720701 KIE720695:KIE720701 JYI720695:JYI720701 JOM720695:JOM720701 JEQ720695:JEQ720701 IUU720695:IUU720701 IKY720695:IKY720701 IBC720695:IBC720701 HRG720695:HRG720701 HHK720695:HHK720701 GXO720695:GXO720701 GNS720695:GNS720701 GDW720695:GDW720701 FUA720695:FUA720701 FKE720695:FKE720701 FAI720695:FAI720701 EQM720695:EQM720701 EGQ720695:EGQ720701 DWU720695:DWU720701 DMY720695:DMY720701 DDC720695:DDC720701 CTG720695:CTG720701 CJK720695:CJK720701 BZO720695:BZO720701 BPS720695:BPS720701 BFW720695:BFW720701 AWA720695:AWA720701 AME720695:AME720701 ACI720695:ACI720701 SM720695:SM720701 IQ720695:IQ720701 WVC655159:WVC655165 WLG655159:WLG655165 WBK655159:WBK655165 VRO655159:VRO655165 VHS655159:VHS655165 UXW655159:UXW655165 UOA655159:UOA655165 UEE655159:UEE655165 TUI655159:TUI655165 TKM655159:TKM655165 TAQ655159:TAQ655165 SQU655159:SQU655165 SGY655159:SGY655165 RXC655159:RXC655165 RNG655159:RNG655165 RDK655159:RDK655165 QTO655159:QTO655165 QJS655159:QJS655165 PZW655159:PZW655165 PQA655159:PQA655165 PGE655159:PGE655165 OWI655159:OWI655165 OMM655159:OMM655165 OCQ655159:OCQ655165 NSU655159:NSU655165 NIY655159:NIY655165 MZC655159:MZC655165 MPG655159:MPG655165 MFK655159:MFK655165 LVO655159:LVO655165 LLS655159:LLS655165 LBW655159:LBW655165 KSA655159:KSA655165 KIE655159:KIE655165 JYI655159:JYI655165 JOM655159:JOM655165 JEQ655159:JEQ655165 IUU655159:IUU655165 IKY655159:IKY655165 IBC655159:IBC655165 HRG655159:HRG655165 HHK655159:HHK655165 GXO655159:GXO655165 GNS655159:GNS655165 GDW655159:GDW655165 FUA655159:FUA655165 FKE655159:FKE655165 FAI655159:FAI655165 EQM655159:EQM655165 EGQ655159:EGQ655165 DWU655159:DWU655165 DMY655159:DMY655165 DDC655159:DDC655165 CTG655159:CTG655165 CJK655159:CJK655165 BZO655159:BZO655165 BPS655159:BPS655165 BFW655159:BFW655165 AWA655159:AWA655165 AME655159:AME655165 ACI655159:ACI655165 SM655159:SM655165 IQ655159:IQ655165 WVC589623:WVC589629 WLG589623:WLG589629 WBK589623:WBK589629 VRO589623:VRO589629 VHS589623:VHS589629 UXW589623:UXW589629 UOA589623:UOA589629 UEE589623:UEE589629 TUI589623:TUI589629 TKM589623:TKM589629 TAQ589623:TAQ589629 SQU589623:SQU589629 SGY589623:SGY589629 RXC589623:RXC589629 RNG589623:RNG589629 RDK589623:RDK589629 QTO589623:QTO589629 QJS589623:QJS589629 PZW589623:PZW589629 PQA589623:PQA589629 PGE589623:PGE589629 OWI589623:OWI589629 OMM589623:OMM589629 OCQ589623:OCQ589629 NSU589623:NSU589629 NIY589623:NIY589629 MZC589623:MZC589629 MPG589623:MPG589629 MFK589623:MFK589629 LVO589623:LVO589629 LLS589623:LLS589629 LBW589623:LBW589629 KSA589623:KSA589629 KIE589623:KIE589629 JYI589623:JYI589629 JOM589623:JOM589629 JEQ589623:JEQ589629 IUU589623:IUU589629 IKY589623:IKY589629 IBC589623:IBC589629 HRG589623:HRG589629 HHK589623:HHK589629 GXO589623:GXO589629 GNS589623:GNS589629 GDW589623:GDW589629 FUA589623:FUA589629 FKE589623:FKE589629 FAI589623:FAI589629 EQM589623:EQM589629 EGQ589623:EGQ589629 DWU589623:DWU589629 DMY589623:DMY589629 DDC589623:DDC589629 CTG589623:CTG589629 CJK589623:CJK589629 BZO589623:BZO589629 BPS589623:BPS589629 BFW589623:BFW589629 AWA589623:AWA589629 AME589623:AME589629 ACI589623:ACI589629 SM589623:SM589629 IQ589623:IQ589629 WVC524087:WVC524093 WLG524087:WLG524093 WBK524087:WBK524093 VRO524087:VRO524093 VHS524087:VHS524093 UXW524087:UXW524093 UOA524087:UOA524093 UEE524087:UEE524093 TUI524087:TUI524093 TKM524087:TKM524093 TAQ524087:TAQ524093 SQU524087:SQU524093 SGY524087:SGY524093 RXC524087:RXC524093 RNG524087:RNG524093 RDK524087:RDK524093 QTO524087:QTO524093 QJS524087:QJS524093 PZW524087:PZW524093 PQA524087:PQA524093 PGE524087:PGE524093 OWI524087:OWI524093 OMM524087:OMM524093 OCQ524087:OCQ524093 NSU524087:NSU524093 NIY524087:NIY524093 MZC524087:MZC524093 MPG524087:MPG524093 MFK524087:MFK524093 LVO524087:LVO524093 LLS524087:LLS524093 LBW524087:LBW524093 KSA524087:KSA524093 KIE524087:KIE524093 JYI524087:JYI524093 JOM524087:JOM524093 JEQ524087:JEQ524093 IUU524087:IUU524093 IKY524087:IKY524093 IBC524087:IBC524093 HRG524087:HRG524093 HHK524087:HHK524093 GXO524087:GXO524093 GNS524087:GNS524093 GDW524087:GDW524093 FUA524087:FUA524093 FKE524087:FKE524093 FAI524087:FAI524093 EQM524087:EQM524093 EGQ524087:EGQ524093 DWU524087:DWU524093 DMY524087:DMY524093 DDC524087:DDC524093 CTG524087:CTG524093 CJK524087:CJK524093 BZO524087:BZO524093 BPS524087:BPS524093 BFW524087:BFW524093 AWA524087:AWA524093 AME524087:AME524093 ACI524087:ACI524093 SM524087:SM524093 IQ524087:IQ524093 WVC458551:WVC458557 WLG458551:WLG458557 WBK458551:WBK458557 VRO458551:VRO458557 VHS458551:VHS458557 UXW458551:UXW458557 UOA458551:UOA458557 UEE458551:UEE458557 TUI458551:TUI458557 TKM458551:TKM458557 TAQ458551:TAQ458557 SQU458551:SQU458557 SGY458551:SGY458557 RXC458551:RXC458557 RNG458551:RNG458557 RDK458551:RDK458557 QTO458551:QTO458557 QJS458551:QJS458557 PZW458551:PZW458557 PQA458551:PQA458557 PGE458551:PGE458557 OWI458551:OWI458557 OMM458551:OMM458557 OCQ458551:OCQ458557 NSU458551:NSU458557 NIY458551:NIY458557 MZC458551:MZC458557 MPG458551:MPG458557 MFK458551:MFK458557 LVO458551:LVO458557 LLS458551:LLS458557 LBW458551:LBW458557 KSA458551:KSA458557 KIE458551:KIE458557 JYI458551:JYI458557 JOM458551:JOM458557 JEQ458551:JEQ458557 IUU458551:IUU458557 IKY458551:IKY458557 IBC458551:IBC458557 HRG458551:HRG458557 HHK458551:HHK458557 GXO458551:GXO458557 GNS458551:GNS458557 GDW458551:GDW458557 FUA458551:FUA458557 FKE458551:FKE458557 FAI458551:FAI458557 EQM458551:EQM458557 EGQ458551:EGQ458557 DWU458551:DWU458557 DMY458551:DMY458557 DDC458551:DDC458557 CTG458551:CTG458557 CJK458551:CJK458557 BZO458551:BZO458557 BPS458551:BPS458557 BFW458551:BFW458557 AWA458551:AWA458557 AME458551:AME458557 ACI458551:ACI458557 SM458551:SM458557 IQ458551:IQ458557 WVC393015:WVC393021 WLG393015:WLG393021 WBK393015:WBK393021 VRO393015:VRO393021 VHS393015:VHS393021 UXW393015:UXW393021 UOA393015:UOA393021 UEE393015:UEE393021 TUI393015:TUI393021 TKM393015:TKM393021 TAQ393015:TAQ393021 SQU393015:SQU393021 SGY393015:SGY393021 RXC393015:RXC393021 RNG393015:RNG393021 RDK393015:RDK393021 QTO393015:QTO393021 QJS393015:QJS393021 PZW393015:PZW393021 PQA393015:PQA393021 PGE393015:PGE393021 OWI393015:OWI393021 OMM393015:OMM393021 OCQ393015:OCQ393021 NSU393015:NSU393021 NIY393015:NIY393021 MZC393015:MZC393021 MPG393015:MPG393021 MFK393015:MFK393021 LVO393015:LVO393021 LLS393015:LLS393021 LBW393015:LBW393021 KSA393015:KSA393021 KIE393015:KIE393021 JYI393015:JYI393021 JOM393015:JOM393021 JEQ393015:JEQ393021 IUU393015:IUU393021 IKY393015:IKY393021 IBC393015:IBC393021 HRG393015:HRG393021 HHK393015:HHK393021 GXO393015:GXO393021 GNS393015:GNS393021 GDW393015:GDW393021 FUA393015:FUA393021 FKE393015:FKE393021 FAI393015:FAI393021 EQM393015:EQM393021 EGQ393015:EGQ393021 DWU393015:DWU393021 DMY393015:DMY393021 DDC393015:DDC393021 CTG393015:CTG393021 CJK393015:CJK393021 BZO393015:BZO393021 BPS393015:BPS393021 BFW393015:BFW393021 AWA393015:AWA393021 AME393015:AME393021 ACI393015:ACI393021 SM393015:SM393021 IQ393015:IQ393021 WVC327479:WVC327485 WLG327479:WLG327485 WBK327479:WBK327485 VRO327479:VRO327485 VHS327479:VHS327485 UXW327479:UXW327485 UOA327479:UOA327485 UEE327479:UEE327485 TUI327479:TUI327485 TKM327479:TKM327485 TAQ327479:TAQ327485 SQU327479:SQU327485 SGY327479:SGY327485 RXC327479:RXC327485 RNG327479:RNG327485 RDK327479:RDK327485 QTO327479:QTO327485 QJS327479:QJS327485 PZW327479:PZW327485 PQA327479:PQA327485 PGE327479:PGE327485 OWI327479:OWI327485 OMM327479:OMM327485 OCQ327479:OCQ327485 NSU327479:NSU327485 NIY327479:NIY327485 MZC327479:MZC327485 MPG327479:MPG327485 MFK327479:MFK327485 LVO327479:LVO327485 LLS327479:LLS327485 LBW327479:LBW327485 KSA327479:KSA327485 KIE327479:KIE327485 JYI327479:JYI327485 JOM327479:JOM327485 JEQ327479:JEQ327485 IUU327479:IUU327485 IKY327479:IKY327485 IBC327479:IBC327485 HRG327479:HRG327485 HHK327479:HHK327485 GXO327479:GXO327485 GNS327479:GNS327485 GDW327479:GDW327485 FUA327479:FUA327485 FKE327479:FKE327485 FAI327479:FAI327485 EQM327479:EQM327485 EGQ327479:EGQ327485 DWU327479:DWU327485 DMY327479:DMY327485 DDC327479:DDC327485 CTG327479:CTG327485 CJK327479:CJK327485 BZO327479:BZO327485 BPS327479:BPS327485 BFW327479:BFW327485 AWA327479:AWA327485 AME327479:AME327485 ACI327479:ACI327485 SM327479:SM327485 IQ327479:IQ327485 WVC261943:WVC261949 WLG261943:WLG261949 WBK261943:WBK261949 VRO261943:VRO261949 VHS261943:VHS261949 UXW261943:UXW261949 UOA261943:UOA261949 UEE261943:UEE261949 TUI261943:TUI261949 TKM261943:TKM261949 TAQ261943:TAQ261949 SQU261943:SQU261949 SGY261943:SGY261949 RXC261943:RXC261949 RNG261943:RNG261949 RDK261943:RDK261949 QTO261943:QTO261949 QJS261943:QJS261949 PZW261943:PZW261949 PQA261943:PQA261949 PGE261943:PGE261949 OWI261943:OWI261949 OMM261943:OMM261949 OCQ261943:OCQ261949 NSU261943:NSU261949 NIY261943:NIY261949 MZC261943:MZC261949 MPG261943:MPG261949 MFK261943:MFK261949 LVO261943:LVO261949 LLS261943:LLS261949 LBW261943:LBW261949 KSA261943:KSA261949 KIE261943:KIE261949 JYI261943:JYI261949 JOM261943:JOM261949 JEQ261943:JEQ261949 IUU261943:IUU261949 IKY261943:IKY261949 IBC261943:IBC261949 HRG261943:HRG261949 HHK261943:HHK261949 GXO261943:GXO261949 GNS261943:GNS261949 GDW261943:GDW261949 FUA261943:FUA261949 FKE261943:FKE261949 FAI261943:FAI261949 EQM261943:EQM261949 EGQ261943:EGQ261949 DWU261943:DWU261949 DMY261943:DMY261949 DDC261943:DDC261949 CTG261943:CTG261949 CJK261943:CJK261949 BZO261943:BZO261949 BPS261943:BPS261949 BFW261943:BFW261949 AWA261943:AWA261949 AME261943:AME261949 ACI261943:ACI261949 SM261943:SM261949 IQ261943:IQ261949 WVC196407:WVC196413 WLG196407:WLG196413 WBK196407:WBK196413 VRO196407:VRO196413 VHS196407:VHS196413 UXW196407:UXW196413 UOA196407:UOA196413 UEE196407:UEE196413 TUI196407:TUI196413 TKM196407:TKM196413 TAQ196407:TAQ196413 SQU196407:SQU196413 SGY196407:SGY196413 RXC196407:RXC196413 RNG196407:RNG196413 RDK196407:RDK196413 QTO196407:QTO196413 QJS196407:QJS196413 PZW196407:PZW196413 PQA196407:PQA196413 PGE196407:PGE196413 OWI196407:OWI196413 OMM196407:OMM196413 OCQ196407:OCQ196413 NSU196407:NSU196413 NIY196407:NIY196413 MZC196407:MZC196413 MPG196407:MPG196413 MFK196407:MFK196413 LVO196407:LVO196413 LLS196407:LLS196413 LBW196407:LBW196413 KSA196407:KSA196413 KIE196407:KIE196413 JYI196407:JYI196413 JOM196407:JOM196413 JEQ196407:JEQ196413 IUU196407:IUU196413 IKY196407:IKY196413 IBC196407:IBC196413 HRG196407:HRG196413 HHK196407:HHK196413 GXO196407:GXO196413 GNS196407:GNS196413 GDW196407:GDW196413 FUA196407:FUA196413 FKE196407:FKE196413 FAI196407:FAI196413 EQM196407:EQM196413 EGQ196407:EGQ196413 DWU196407:DWU196413 DMY196407:DMY196413 DDC196407:DDC196413 CTG196407:CTG196413 CJK196407:CJK196413 BZO196407:BZO196413 BPS196407:BPS196413 BFW196407:BFW196413 AWA196407:AWA196413 AME196407:AME196413 ACI196407:ACI196413 SM196407:SM196413 IQ196407:IQ196413 WVC130871:WVC130877 WLG130871:WLG130877 WBK130871:WBK130877 VRO130871:VRO130877 VHS130871:VHS130877 UXW130871:UXW130877 UOA130871:UOA130877 UEE130871:UEE130877 TUI130871:TUI130877 TKM130871:TKM130877 TAQ130871:TAQ130877 SQU130871:SQU130877 SGY130871:SGY130877 RXC130871:RXC130877 RNG130871:RNG130877 RDK130871:RDK130877 QTO130871:QTO130877 QJS130871:QJS130877 PZW130871:PZW130877 PQA130871:PQA130877 PGE130871:PGE130877 OWI130871:OWI130877 OMM130871:OMM130877 OCQ130871:OCQ130877 NSU130871:NSU130877 NIY130871:NIY130877 MZC130871:MZC130877 MPG130871:MPG130877 MFK130871:MFK130877 LVO130871:LVO130877 LLS130871:LLS130877 LBW130871:LBW130877 KSA130871:KSA130877 KIE130871:KIE130877 JYI130871:JYI130877 JOM130871:JOM130877 JEQ130871:JEQ130877 IUU130871:IUU130877 IKY130871:IKY130877 IBC130871:IBC130877 HRG130871:HRG130877 HHK130871:HHK130877 GXO130871:GXO130877 GNS130871:GNS130877 GDW130871:GDW130877 FUA130871:FUA130877 FKE130871:FKE130877 FAI130871:FAI130877 EQM130871:EQM130877 EGQ130871:EGQ130877 DWU130871:DWU130877 DMY130871:DMY130877 DDC130871:DDC130877 CTG130871:CTG130877 CJK130871:CJK130877 BZO130871:BZO130877 BPS130871:BPS130877 BFW130871:BFW130877 AWA130871:AWA130877 AME130871:AME130877 ACI130871:ACI130877 SM130871:SM130877 IQ130871:IQ130877 WVC65335:WVC65341 WLG65335:WLG65341 WBK65335:WBK65341 VRO65335:VRO65341 VHS65335:VHS65341 UXW65335:UXW65341 UOA65335:UOA65341 UEE65335:UEE65341 TUI65335:TUI65341 TKM65335:TKM65341 TAQ65335:TAQ65341 SQU65335:SQU65341 SGY65335:SGY65341 RXC65335:RXC65341 RNG65335:RNG65341 RDK65335:RDK65341 QTO65335:QTO65341 QJS65335:QJS65341 PZW65335:PZW65341 PQA65335:PQA65341 PGE65335:PGE65341 OWI65335:OWI65341 OMM65335:OMM65341 OCQ65335:OCQ65341 NSU65335:NSU65341 NIY65335:NIY65341 MZC65335:MZC65341 MPG65335:MPG65341 MFK65335:MFK65341 LVO65335:LVO65341 LLS65335:LLS65341 LBW65335:LBW65341 KSA65335:KSA65341 KIE65335:KIE65341 JYI65335:JYI65341 JOM65335:JOM65341 JEQ65335:JEQ65341 IUU65335:IUU65341 IKY65335:IKY65341 IBC65335:IBC65341 HRG65335:HRG65341 HHK65335:HHK65341 GXO65335:GXO65341 GNS65335:GNS65341 GDW65335:GDW65341 FUA65335:FUA65341 FKE65335:FKE65341 FAI65335:FAI65341 EQM65335:EQM65341 EGQ65335:EGQ65341 DWU65335:DWU65341 DMY65335:DMY65341 DDC65335:DDC65341 CTG65335:CTG65341 CJK65335:CJK65341 BZO65335:BZO65341 BPS65335:BPS65341 BFW65335:BFW65341 AWA65335:AWA65341 AME65335:AME65341 ACI65335:ACI65341 SM65335:SM65341 IQ65335:IQ65341 WVC982799:WVC982802 WLG982799:WLG982802 WBK982799:WBK982802 VRO982799:VRO982802 VHS982799:VHS982802 UXW982799:UXW982802 UOA982799:UOA982802 UEE982799:UEE982802 TUI982799:TUI982802 TKM982799:TKM982802 TAQ982799:TAQ982802 SQU982799:SQU982802 SGY982799:SGY982802 RXC982799:RXC982802 RNG982799:RNG982802 RDK982799:RDK982802 QTO982799:QTO982802 QJS982799:QJS982802 PZW982799:PZW982802 PQA982799:PQA982802 PGE982799:PGE982802 OWI982799:OWI982802 OMM982799:OMM982802 OCQ982799:OCQ982802 NSU982799:NSU982802 NIY982799:NIY982802 MZC982799:MZC982802 MPG982799:MPG982802 MFK982799:MFK982802 LVO982799:LVO982802 LLS982799:LLS982802 LBW982799:LBW982802 KSA982799:KSA982802 KIE982799:KIE982802 JYI982799:JYI982802 JOM982799:JOM982802 JEQ982799:JEQ982802 IUU982799:IUU982802 IKY982799:IKY982802 IBC982799:IBC982802 HRG982799:HRG982802 HHK982799:HHK982802 GXO982799:GXO982802 GNS982799:GNS982802 GDW982799:GDW982802 FUA982799:FUA982802 FKE982799:FKE982802 FAI982799:FAI982802 EQM982799:EQM982802 EGQ982799:EGQ982802 DWU982799:DWU982802 DMY982799:DMY982802 DDC982799:DDC982802 CTG982799:CTG982802 CJK982799:CJK982802 BZO982799:BZO982802 BPS982799:BPS982802 BFW982799:BFW982802 AWA982799:AWA982802 AME982799:AME982802 ACI982799:ACI982802 SM982799:SM982802 IQ982799:IQ982802 WVC917263:WVC917266 WLG917263:WLG917266 WBK917263:WBK917266 VRO917263:VRO917266 VHS917263:VHS917266 UXW917263:UXW917266 UOA917263:UOA917266 UEE917263:UEE917266 TUI917263:TUI917266 TKM917263:TKM917266 TAQ917263:TAQ917266 SQU917263:SQU917266 SGY917263:SGY917266 RXC917263:RXC917266 RNG917263:RNG917266 RDK917263:RDK917266 QTO917263:QTO917266 QJS917263:QJS917266 PZW917263:PZW917266 PQA917263:PQA917266 PGE917263:PGE917266 OWI917263:OWI917266 OMM917263:OMM917266 OCQ917263:OCQ917266 NSU917263:NSU917266 NIY917263:NIY917266 MZC917263:MZC917266 MPG917263:MPG917266 MFK917263:MFK917266 LVO917263:LVO917266 LLS917263:LLS917266 LBW917263:LBW917266 KSA917263:KSA917266 KIE917263:KIE917266 JYI917263:JYI917266 JOM917263:JOM917266 JEQ917263:JEQ917266 IUU917263:IUU917266 IKY917263:IKY917266 IBC917263:IBC917266 HRG917263:HRG917266 HHK917263:HHK917266 GXO917263:GXO917266 GNS917263:GNS917266 GDW917263:GDW917266 FUA917263:FUA917266 FKE917263:FKE917266 FAI917263:FAI917266 EQM917263:EQM917266 EGQ917263:EGQ917266 DWU917263:DWU917266 DMY917263:DMY917266 DDC917263:DDC917266 CTG917263:CTG917266 CJK917263:CJK917266 BZO917263:BZO917266 BPS917263:BPS917266 BFW917263:BFW917266 AWA917263:AWA917266 AME917263:AME917266 ACI917263:ACI917266 SM917263:SM917266 IQ917263:IQ917266 WVC851727:WVC851730 WLG851727:WLG851730 WBK851727:WBK851730 VRO851727:VRO851730 VHS851727:VHS851730 UXW851727:UXW851730 UOA851727:UOA851730 UEE851727:UEE851730 TUI851727:TUI851730 TKM851727:TKM851730 TAQ851727:TAQ851730 SQU851727:SQU851730 SGY851727:SGY851730 RXC851727:RXC851730 RNG851727:RNG851730 RDK851727:RDK851730 QTO851727:QTO851730 QJS851727:QJS851730 PZW851727:PZW851730 PQA851727:PQA851730 PGE851727:PGE851730 OWI851727:OWI851730 OMM851727:OMM851730 OCQ851727:OCQ851730 NSU851727:NSU851730 NIY851727:NIY851730 MZC851727:MZC851730 MPG851727:MPG851730 MFK851727:MFK851730 LVO851727:LVO851730 LLS851727:LLS851730 LBW851727:LBW851730 KSA851727:KSA851730 KIE851727:KIE851730 JYI851727:JYI851730 JOM851727:JOM851730 JEQ851727:JEQ851730 IUU851727:IUU851730 IKY851727:IKY851730 IBC851727:IBC851730 HRG851727:HRG851730 HHK851727:HHK851730 GXO851727:GXO851730 GNS851727:GNS851730 GDW851727:GDW851730 FUA851727:FUA851730 FKE851727:FKE851730 FAI851727:FAI851730 EQM851727:EQM851730 EGQ851727:EGQ851730 DWU851727:DWU851730 DMY851727:DMY851730 DDC851727:DDC851730 CTG851727:CTG851730 CJK851727:CJK851730 BZO851727:BZO851730 BPS851727:BPS851730 BFW851727:BFW851730 AWA851727:AWA851730 AME851727:AME851730 ACI851727:ACI851730 SM851727:SM851730 IQ851727:IQ851730 WVC786191:WVC786194 WLG786191:WLG786194 WBK786191:WBK786194 VRO786191:VRO786194 VHS786191:VHS786194 UXW786191:UXW786194 UOA786191:UOA786194 UEE786191:UEE786194 TUI786191:TUI786194 TKM786191:TKM786194 TAQ786191:TAQ786194 SQU786191:SQU786194 SGY786191:SGY786194 RXC786191:RXC786194 RNG786191:RNG786194 RDK786191:RDK786194 QTO786191:QTO786194 QJS786191:QJS786194 PZW786191:PZW786194 PQA786191:PQA786194 PGE786191:PGE786194 OWI786191:OWI786194 OMM786191:OMM786194 OCQ786191:OCQ786194 NSU786191:NSU786194 NIY786191:NIY786194 MZC786191:MZC786194 MPG786191:MPG786194 MFK786191:MFK786194 LVO786191:LVO786194 LLS786191:LLS786194 LBW786191:LBW786194 KSA786191:KSA786194 KIE786191:KIE786194 JYI786191:JYI786194 JOM786191:JOM786194 JEQ786191:JEQ786194 IUU786191:IUU786194 IKY786191:IKY786194 IBC786191:IBC786194 HRG786191:HRG786194 HHK786191:HHK786194 GXO786191:GXO786194 GNS786191:GNS786194 GDW786191:GDW786194 FUA786191:FUA786194 FKE786191:FKE786194 FAI786191:FAI786194 EQM786191:EQM786194 EGQ786191:EGQ786194 DWU786191:DWU786194 DMY786191:DMY786194 DDC786191:DDC786194 CTG786191:CTG786194 CJK786191:CJK786194 BZO786191:BZO786194 BPS786191:BPS786194 BFW786191:BFW786194 AWA786191:AWA786194 AME786191:AME786194 ACI786191:ACI786194 SM786191:SM786194 IQ786191:IQ786194 WVC720655:WVC720658 WLG720655:WLG720658 WBK720655:WBK720658 VRO720655:VRO720658 VHS720655:VHS720658 UXW720655:UXW720658 UOA720655:UOA720658 UEE720655:UEE720658 TUI720655:TUI720658 TKM720655:TKM720658 TAQ720655:TAQ720658 SQU720655:SQU720658 SGY720655:SGY720658 RXC720655:RXC720658 RNG720655:RNG720658 RDK720655:RDK720658 QTO720655:QTO720658 QJS720655:QJS720658 PZW720655:PZW720658 PQA720655:PQA720658 PGE720655:PGE720658 OWI720655:OWI720658 OMM720655:OMM720658 OCQ720655:OCQ720658 NSU720655:NSU720658 NIY720655:NIY720658 MZC720655:MZC720658 MPG720655:MPG720658 MFK720655:MFK720658 LVO720655:LVO720658 LLS720655:LLS720658 LBW720655:LBW720658 KSA720655:KSA720658 KIE720655:KIE720658 JYI720655:JYI720658 JOM720655:JOM720658 JEQ720655:JEQ720658 IUU720655:IUU720658 IKY720655:IKY720658 IBC720655:IBC720658 HRG720655:HRG720658 HHK720655:HHK720658 GXO720655:GXO720658 GNS720655:GNS720658 GDW720655:GDW720658 FUA720655:FUA720658 FKE720655:FKE720658 FAI720655:FAI720658 EQM720655:EQM720658 EGQ720655:EGQ720658 DWU720655:DWU720658 DMY720655:DMY720658 DDC720655:DDC720658 CTG720655:CTG720658 CJK720655:CJK720658 BZO720655:BZO720658 BPS720655:BPS720658 BFW720655:BFW720658 AWA720655:AWA720658 AME720655:AME720658 ACI720655:ACI720658 SM720655:SM720658 IQ720655:IQ720658 WVC655119:WVC655122 WLG655119:WLG655122 WBK655119:WBK655122 VRO655119:VRO655122 VHS655119:VHS655122 UXW655119:UXW655122 UOA655119:UOA655122 UEE655119:UEE655122 TUI655119:TUI655122 TKM655119:TKM655122 TAQ655119:TAQ655122 SQU655119:SQU655122 SGY655119:SGY655122 RXC655119:RXC655122 RNG655119:RNG655122 RDK655119:RDK655122 QTO655119:QTO655122 QJS655119:QJS655122 PZW655119:PZW655122 PQA655119:PQA655122 PGE655119:PGE655122 OWI655119:OWI655122 OMM655119:OMM655122 OCQ655119:OCQ655122 NSU655119:NSU655122 NIY655119:NIY655122 MZC655119:MZC655122 MPG655119:MPG655122 MFK655119:MFK655122 LVO655119:LVO655122 LLS655119:LLS655122 LBW655119:LBW655122 KSA655119:KSA655122 KIE655119:KIE655122 JYI655119:JYI655122 JOM655119:JOM655122 JEQ655119:JEQ655122 IUU655119:IUU655122 IKY655119:IKY655122 IBC655119:IBC655122 HRG655119:HRG655122 HHK655119:HHK655122 GXO655119:GXO655122 GNS655119:GNS655122 GDW655119:GDW655122 FUA655119:FUA655122 FKE655119:FKE655122 FAI655119:FAI655122 EQM655119:EQM655122 EGQ655119:EGQ655122 DWU655119:DWU655122 DMY655119:DMY655122 DDC655119:DDC655122 CTG655119:CTG655122 CJK655119:CJK655122 BZO655119:BZO655122 BPS655119:BPS655122 BFW655119:BFW655122 AWA655119:AWA655122 AME655119:AME655122 ACI655119:ACI655122 SM655119:SM655122 IQ655119:IQ655122 WVC589583:WVC589586 WLG589583:WLG589586 WBK589583:WBK589586 VRO589583:VRO589586 VHS589583:VHS589586 UXW589583:UXW589586 UOA589583:UOA589586 UEE589583:UEE589586 TUI589583:TUI589586 TKM589583:TKM589586 TAQ589583:TAQ589586 SQU589583:SQU589586 SGY589583:SGY589586 RXC589583:RXC589586 RNG589583:RNG589586 RDK589583:RDK589586 QTO589583:QTO589586 QJS589583:QJS589586 PZW589583:PZW589586 PQA589583:PQA589586 PGE589583:PGE589586 OWI589583:OWI589586 OMM589583:OMM589586 OCQ589583:OCQ589586 NSU589583:NSU589586 NIY589583:NIY589586 MZC589583:MZC589586 MPG589583:MPG589586 MFK589583:MFK589586 LVO589583:LVO589586 LLS589583:LLS589586 LBW589583:LBW589586 KSA589583:KSA589586 KIE589583:KIE589586 JYI589583:JYI589586 JOM589583:JOM589586 JEQ589583:JEQ589586 IUU589583:IUU589586 IKY589583:IKY589586 IBC589583:IBC589586 HRG589583:HRG589586 HHK589583:HHK589586 GXO589583:GXO589586 GNS589583:GNS589586 GDW589583:GDW589586 FUA589583:FUA589586 FKE589583:FKE589586 FAI589583:FAI589586 EQM589583:EQM589586 EGQ589583:EGQ589586 DWU589583:DWU589586 DMY589583:DMY589586 DDC589583:DDC589586 CTG589583:CTG589586 CJK589583:CJK589586 BZO589583:BZO589586 BPS589583:BPS589586 BFW589583:BFW589586 AWA589583:AWA589586 AME589583:AME589586 ACI589583:ACI589586 SM589583:SM589586 IQ589583:IQ589586 WVC524047:WVC524050 WLG524047:WLG524050 WBK524047:WBK524050 VRO524047:VRO524050 VHS524047:VHS524050 UXW524047:UXW524050 UOA524047:UOA524050 UEE524047:UEE524050 TUI524047:TUI524050 TKM524047:TKM524050 TAQ524047:TAQ524050 SQU524047:SQU524050 SGY524047:SGY524050 RXC524047:RXC524050 RNG524047:RNG524050 RDK524047:RDK524050 QTO524047:QTO524050 QJS524047:QJS524050 PZW524047:PZW524050 PQA524047:PQA524050 PGE524047:PGE524050 OWI524047:OWI524050 OMM524047:OMM524050 OCQ524047:OCQ524050 NSU524047:NSU524050 NIY524047:NIY524050 MZC524047:MZC524050 MPG524047:MPG524050 MFK524047:MFK524050 LVO524047:LVO524050 LLS524047:LLS524050 LBW524047:LBW524050 KSA524047:KSA524050 KIE524047:KIE524050 JYI524047:JYI524050 JOM524047:JOM524050 JEQ524047:JEQ524050 IUU524047:IUU524050 IKY524047:IKY524050 IBC524047:IBC524050 HRG524047:HRG524050 HHK524047:HHK524050 GXO524047:GXO524050 GNS524047:GNS524050 GDW524047:GDW524050 FUA524047:FUA524050 FKE524047:FKE524050 FAI524047:FAI524050 EQM524047:EQM524050 EGQ524047:EGQ524050 DWU524047:DWU524050 DMY524047:DMY524050 DDC524047:DDC524050 CTG524047:CTG524050 CJK524047:CJK524050 BZO524047:BZO524050 BPS524047:BPS524050 BFW524047:BFW524050 AWA524047:AWA524050 AME524047:AME524050 ACI524047:ACI524050 SM524047:SM524050 IQ524047:IQ524050 WVC458511:WVC458514 WLG458511:WLG458514 WBK458511:WBK458514 VRO458511:VRO458514 VHS458511:VHS458514 UXW458511:UXW458514 UOA458511:UOA458514 UEE458511:UEE458514 TUI458511:TUI458514 TKM458511:TKM458514 TAQ458511:TAQ458514 SQU458511:SQU458514 SGY458511:SGY458514 RXC458511:RXC458514 RNG458511:RNG458514 RDK458511:RDK458514 QTO458511:QTO458514 QJS458511:QJS458514 PZW458511:PZW458514 PQA458511:PQA458514 PGE458511:PGE458514 OWI458511:OWI458514 OMM458511:OMM458514 OCQ458511:OCQ458514 NSU458511:NSU458514 NIY458511:NIY458514 MZC458511:MZC458514 MPG458511:MPG458514 MFK458511:MFK458514 LVO458511:LVO458514 LLS458511:LLS458514 LBW458511:LBW458514 KSA458511:KSA458514 KIE458511:KIE458514 JYI458511:JYI458514 JOM458511:JOM458514 JEQ458511:JEQ458514 IUU458511:IUU458514 IKY458511:IKY458514 IBC458511:IBC458514 HRG458511:HRG458514 HHK458511:HHK458514 GXO458511:GXO458514 GNS458511:GNS458514 GDW458511:GDW458514 FUA458511:FUA458514 FKE458511:FKE458514 FAI458511:FAI458514 EQM458511:EQM458514 EGQ458511:EGQ458514 DWU458511:DWU458514 DMY458511:DMY458514 DDC458511:DDC458514 CTG458511:CTG458514 CJK458511:CJK458514 BZO458511:BZO458514 BPS458511:BPS458514 BFW458511:BFW458514 AWA458511:AWA458514 AME458511:AME458514 ACI458511:ACI458514 SM458511:SM458514 IQ458511:IQ458514 WVC392975:WVC392978 WLG392975:WLG392978 WBK392975:WBK392978 VRO392975:VRO392978 VHS392975:VHS392978 UXW392975:UXW392978 UOA392975:UOA392978 UEE392975:UEE392978 TUI392975:TUI392978 TKM392975:TKM392978 TAQ392975:TAQ392978 SQU392975:SQU392978 SGY392975:SGY392978 RXC392975:RXC392978 RNG392975:RNG392978 RDK392975:RDK392978 QTO392975:QTO392978 QJS392975:QJS392978 PZW392975:PZW392978 PQA392975:PQA392978 PGE392975:PGE392978 OWI392975:OWI392978 OMM392975:OMM392978 OCQ392975:OCQ392978 NSU392975:NSU392978 NIY392975:NIY392978 MZC392975:MZC392978 MPG392975:MPG392978 MFK392975:MFK392978 LVO392975:LVO392978 LLS392975:LLS392978 LBW392975:LBW392978 KSA392975:KSA392978 KIE392975:KIE392978 JYI392975:JYI392978 JOM392975:JOM392978 JEQ392975:JEQ392978 IUU392975:IUU392978 IKY392975:IKY392978 IBC392975:IBC392978 HRG392975:HRG392978 HHK392975:HHK392978 GXO392975:GXO392978 GNS392975:GNS392978 GDW392975:GDW392978 FUA392975:FUA392978 FKE392975:FKE392978 FAI392975:FAI392978 EQM392975:EQM392978 EGQ392975:EGQ392978 DWU392975:DWU392978 DMY392975:DMY392978 DDC392975:DDC392978 CTG392975:CTG392978 CJK392975:CJK392978 BZO392975:BZO392978 BPS392975:BPS392978 BFW392975:BFW392978 AWA392975:AWA392978 AME392975:AME392978 ACI392975:ACI392978 SM392975:SM392978 IQ392975:IQ392978 WVC327439:WVC327442 WLG327439:WLG327442 WBK327439:WBK327442 VRO327439:VRO327442 VHS327439:VHS327442 UXW327439:UXW327442 UOA327439:UOA327442 UEE327439:UEE327442 TUI327439:TUI327442 TKM327439:TKM327442 TAQ327439:TAQ327442 SQU327439:SQU327442 SGY327439:SGY327442 RXC327439:RXC327442 RNG327439:RNG327442 RDK327439:RDK327442 QTO327439:QTO327442 QJS327439:QJS327442 PZW327439:PZW327442 PQA327439:PQA327442 PGE327439:PGE327442 OWI327439:OWI327442 OMM327439:OMM327442 OCQ327439:OCQ327442 NSU327439:NSU327442 NIY327439:NIY327442 MZC327439:MZC327442 MPG327439:MPG327442 MFK327439:MFK327442 LVO327439:LVO327442 LLS327439:LLS327442 LBW327439:LBW327442 KSA327439:KSA327442 KIE327439:KIE327442 JYI327439:JYI327442 JOM327439:JOM327442 JEQ327439:JEQ327442 IUU327439:IUU327442 IKY327439:IKY327442 IBC327439:IBC327442 HRG327439:HRG327442 HHK327439:HHK327442 GXO327439:GXO327442 GNS327439:GNS327442 GDW327439:GDW327442 FUA327439:FUA327442 FKE327439:FKE327442 FAI327439:FAI327442 EQM327439:EQM327442 EGQ327439:EGQ327442 DWU327439:DWU327442 DMY327439:DMY327442 DDC327439:DDC327442 CTG327439:CTG327442 CJK327439:CJK327442 BZO327439:BZO327442 BPS327439:BPS327442 BFW327439:BFW327442 AWA327439:AWA327442 AME327439:AME327442 ACI327439:ACI327442 SM327439:SM327442 IQ327439:IQ327442 WVC261903:WVC261906 WLG261903:WLG261906 WBK261903:WBK261906 VRO261903:VRO261906 VHS261903:VHS261906 UXW261903:UXW261906 UOA261903:UOA261906 UEE261903:UEE261906 TUI261903:TUI261906 TKM261903:TKM261906 TAQ261903:TAQ261906 SQU261903:SQU261906 SGY261903:SGY261906 RXC261903:RXC261906 RNG261903:RNG261906 RDK261903:RDK261906 QTO261903:QTO261906 QJS261903:QJS261906 PZW261903:PZW261906 PQA261903:PQA261906 PGE261903:PGE261906 OWI261903:OWI261906 OMM261903:OMM261906 OCQ261903:OCQ261906 NSU261903:NSU261906 NIY261903:NIY261906 MZC261903:MZC261906 MPG261903:MPG261906 MFK261903:MFK261906 LVO261903:LVO261906 LLS261903:LLS261906 LBW261903:LBW261906 KSA261903:KSA261906 KIE261903:KIE261906 JYI261903:JYI261906 JOM261903:JOM261906 JEQ261903:JEQ261906 IUU261903:IUU261906 IKY261903:IKY261906 IBC261903:IBC261906 HRG261903:HRG261906 HHK261903:HHK261906 GXO261903:GXO261906 GNS261903:GNS261906 GDW261903:GDW261906 FUA261903:FUA261906 FKE261903:FKE261906 FAI261903:FAI261906 EQM261903:EQM261906 EGQ261903:EGQ261906 DWU261903:DWU261906 DMY261903:DMY261906 DDC261903:DDC261906 CTG261903:CTG261906 CJK261903:CJK261906 BZO261903:BZO261906 BPS261903:BPS261906 BFW261903:BFW261906 AWA261903:AWA261906 AME261903:AME261906 ACI261903:ACI261906 SM261903:SM261906 IQ261903:IQ261906 WVC196367:WVC196370 WLG196367:WLG196370 WBK196367:WBK196370 VRO196367:VRO196370 VHS196367:VHS196370 UXW196367:UXW196370 UOA196367:UOA196370 UEE196367:UEE196370 TUI196367:TUI196370 TKM196367:TKM196370 TAQ196367:TAQ196370 SQU196367:SQU196370 SGY196367:SGY196370 RXC196367:RXC196370 RNG196367:RNG196370 RDK196367:RDK196370 QTO196367:QTO196370 QJS196367:QJS196370 PZW196367:PZW196370 PQA196367:PQA196370 PGE196367:PGE196370 OWI196367:OWI196370 OMM196367:OMM196370 OCQ196367:OCQ196370 NSU196367:NSU196370 NIY196367:NIY196370 MZC196367:MZC196370 MPG196367:MPG196370 MFK196367:MFK196370 LVO196367:LVO196370 LLS196367:LLS196370 LBW196367:LBW196370 KSA196367:KSA196370 KIE196367:KIE196370 JYI196367:JYI196370 JOM196367:JOM196370 JEQ196367:JEQ196370 IUU196367:IUU196370 IKY196367:IKY196370 IBC196367:IBC196370 HRG196367:HRG196370 HHK196367:HHK196370 GXO196367:GXO196370 GNS196367:GNS196370 GDW196367:GDW196370 FUA196367:FUA196370 FKE196367:FKE196370 FAI196367:FAI196370 EQM196367:EQM196370 EGQ196367:EGQ196370 DWU196367:DWU196370 DMY196367:DMY196370 DDC196367:DDC196370 CTG196367:CTG196370 CJK196367:CJK196370 BZO196367:BZO196370 BPS196367:BPS196370 BFW196367:BFW196370 AWA196367:AWA196370 AME196367:AME196370 ACI196367:ACI196370 SM196367:SM196370 IQ196367:IQ196370 WVC130831:WVC130834 WLG130831:WLG130834 WBK130831:WBK130834 VRO130831:VRO130834 VHS130831:VHS130834 UXW130831:UXW130834 UOA130831:UOA130834 UEE130831:UEE130834 TUI130831:TUI130834 TKM130831:TKM130834 TAQ130831:TAQ130834 SQU130831:SQU130834 SGY130831:SGY130834 RXC130831:RXC130834 RNG130831:RNG130834 RDK130831:RDK130834 QTO130831:QTO130834 QJS130831:QJS130834 PZW130831:PZW130834 PQA130831:PQA130834 PGE130831:PGE130834 OWI130831:OWI130834 OMM130831:OMM130834 OCQ130831:OCQ130834 NSU130831:NSU130834 NIY130831:NIY130834 MZC130831:MZC130834 MPG130831:MPG130834 MFK130831:MFK130834 LVO130831:LVO130834 LLS130831:LLS130834 LBW130831:LBW130834 KSA130831:KSA130834 KIE130831:KIE130834 JYI130831:JYI130834 JOM130831:JOM130834 JEQ130831:JEQ130834 IUU130831:IUU130834 IKY130831:IKY130834 IBC130831:IBC130834 HRG130831:HRG130834 HHK130831:HHK130834 GXO130831:GXO130834 GNS130831:GNS130834 GDW130831:GDW130834 FUA130831:FUA130834 FKE130831:FKE130834 FAI130831:FAI130834 EQM130831:EQM130834 EGQ130831:EGQ130834 DWU130831:DWU130834 DMY130831:DMY130834 DDC130831:DDC130834 CTG130831:CTG130834 CJK130831:CJK130834 BZO130831:BZO130834 BPS130831:BPS130834 BFW130831:BFW130834 AWA130831:AWA130834 AME130831:AME130834 ACI130831:ACI130834 SM130831:SM130834 IQ130831:IQ130834 WVC65295:WVC65298 WLG65295:WLG65298 WBK65295:WBK65298 VRO65295:VRO65298 VHS65295:VHS65298 UXW65295:UXW65298 UOA65295:UOA65298 UEE65295:UEE65298 TUI65295:TUI65298 TKM65295:TKM65298 TAQ65295:TAQ65298 SQU65295:SQU65298 SGY65295:SGY65298 RXC65295:RXC65298 RNG65295:RNG65298 RDK65295:RDK65298 QTO65295:QTO65298 QJS65295:QJS65298 PZW65295:PZW65298 PQA65295:PQA65298 PGE65295:PGE65298 OWI65295:OWI65298 OMM65295:OMM65298 OCQ65295:OCQ65298 NSU65295:NSU65298 NIY65295:NIY65298 MZC65295:MZC65298 MPG65295:MPG65298 MFK65295:MFK65298 LVO65295:LVO65298 LLS65295:LLS65298 LBW65295:LBW65298 KSA65295:KSA65298 KIE65295:KIE65298 JYI65295:JYI65298 JOM65295:JOM65298 JEQ65295:JEQ65298 IUU65295:IUU65298 IKY65295:IKY65298 IBC65295:IBC65298 HRG65295:HRG65298 HHK65295:HHK65298 GXO65295:GXO65298 GNS65295:GNS65298 GDW65295:GDW65298 FUA65295:FUA65298 FKE65295:FKE65298 FAI65295:FAI65298 EQM65295:EQM65298 EGQ65295:EGQ65298 DWU65295:DWU65298 DMY65295:DMY65298 DDC65295:DDC65298 CTG65295:CTG65298 CJK65295:CJK65298 BZO65295:BZO65298 BPS65295:BPS65298 BFW65295:BFW65298 AWA65295:AWA65298 AME65295:AME65298 ACI65295:ACI65298 SM65295:SM65298 IQ65295:IQ65298 WVJ982855:WVJ982856 WLN982855:WLN982856 WBR982855:WBR982856 VRV982855:VRV982856 VHZ982855:VHZ982856 UYD982855:UYD982856 UOH982855:UOH982856 UEL982855:UEL982856 TUP982855:TUP982856 TKT982855:TKT982856 TAX982855:TAX982856 SRB982855:SRB982856 SHF982855:SHF982856 RXJ982855:RXJ982856 RNN982855:RNN982856 RDR982855:RDR982856 QTV982855:QTV982856 QJZ982855:QJZ982856 QAD982855:QAD982856 PQH982855:PQH982856 PGL982855:PGL982856 OWP982855:OWP982856 OMT982855:OMT982856 OCX982855:OCX982856 NTB982855:NTB982856 NJF982855:NJF982856 MZJ982855:MZJ982856 MPN982855:MPN982856 MFR982855:MFR982856 LVV982855:LVV982856 LLZ982855:LLZ982856 LCD982855:LCD982856 KSH982855:KSH982856 KIL982855:KIL982856 JYP982855:JYP982856 JOT982855:JOT982856 JEX982855:JEX982856 IVB982855:IVB982856 ILF982855:ILF982856 IBJ982855:IBJ982856 HRN982855:HRN982856 HHR982855:HHR982856 GXV982855:GXV982856 GNZ982855:GNZ982856 GED982855:GED982856 FUH982855:FUH982856 FKL982855:FKL982856 FAP982855:FAP982856 EQT982855:EQT982856 EGX982855:EGX982856 DXB982855:DXB982856 DNF982855:DNF982856 DDJ982855:DDJ982856 CTN982855:CTN982856 CJR982855:CJR982856 BZV982855:BZV982856 BPZ982855:BPZ982856 BGD982855:BGD982856 AWH982855:AWH982856 AML982855:AML982856 ACP982855:ACP982856 ST982855:ST982856 IX982855:IX982856 WVJ917319:WVJ917320 WLN917319:WLN917320 WBR917319:WBR917320 VRV917319:VRV917320 VHZ917319:VHZ917320 UYD917319:UYD917320 UOH917319:UOH917320 UEL917319:UEL917320 TUP917319:TUP917320 TKT917319:TKT917320 TAX917319:TAX917320 SRB917319:SRB917320 SHF917319:SHF917320 RXJ917319:RXJ917320 RNN917319:RNN917320 RDR917319:RDR917320 QTV917319:QTV917320 QJZ917319:QJZ917320 QAD917319:QAD917320 PQH917319:PQH917320 PGL917319:PGL917320 OWP917319:OWP917320 OMT917319:OMT917320 OCX917319:OCX917320 NTB917319:NTB917320 NJF917319:NJF917320 MZJ917319:MZJ917320 MPN917319:MPN917320 MFR917319:MFR917320 LVV917319:LVV917320 LLZ917319:LLZ917320 LCD917319:LCD917320 KSH917319:KSH917320 KIL917319:KIL917320 JYP917319:JYP917320 JOT917319:JOT917320 JEX917319:JEX917320 IVB917319:IVB917320 ILF917319:ILF917320 IBJ917319:IBJ917320 HRN917319:HRN917320 HHR917319:HHR917320 GXV917319:GXV917320 GNZ917319:GNZ917320 GED917319:GED917320 FUH917319:FUH917320 FKL917319:FKL917320 FAP917319:FAP917320 EQT917319:EQT917320 EGX917319:EGX917320 DXB917319:DXB917320 DNF917319:DNF917320 DDJ917319:DDJ917320 CTN917319:CTN917320 CJR917319:CJR917320 BZV917319:BZV917320 BPZ917319:BPZ917320 BGD917319:BGD917320 AWH917319:AWH917320 AML917319:AML917320 ACP917319:ACP917320 ST917319:ST917320 IX917319:IX917320 WVJ851783:WVJ851784 WLN851783:WLN851784 WBR851783:WBR851784 VRV851783:VRV851784 VHZ851783:VHZ851784 UYD851783:UYD851784 UOH851783:UOH851784 UEL851783:UEL851784 TUP851783:TUP851784 TKT851783:TKT851784 TAX851783:TAX851784 SRB851783:SRB851784 SHF851783:SHF851784 RXJ851783:RXJ851784 RNN851783:RNN851784 RDR851783:RDR851784 QTV851783:QTV851784 QJZ851783:QJZ851784 QAD851783:QAD851784 PQH851783:PQH851784 PGL851783:PGL851784 OWP851783:OWP851784 OMT851783:OMT851784 OCX851783:OCX851784 NTB851783:NTB851784 NJF851783:NJF851784 MZJ851783:MZJ851784 MPN851783:MPN851784 MFR851783:MFR851784 LVV851783:LVV851784 LLZ851783:LLZ851784 LCD851783:LCD851784 KSH851783:KSH851784 KIL851783:KIL851784 JYP851783:JYP851784 JOT851783:JOT851784 JEX851783:JEX851784 IVB851783:IVB851784 ILF851783:ILF851784 IBJ851783:IBJ851784 HRN851783:HRN851784 HHR851783:HHR851784 GXV851783:GXV851784 GNZ851783:GNZ851784 GED851783:GED851784 FUH851783:FUH851784 FKL851783:FKL851784 FAP851783:FAP851784 EQT851783:EQT851784 EGX851783:EGX851784 DXB851783:DXB851784 DNF851783:DNF851784 DDJ851783:DDJ851784 CTN851783:CTN851784 CJR851783:CJR851784 BZV851783:BZV851784 BPZ851783:BPZ851784 BGD851783:BGD851784 AWH851783:AWH851784 AML851783:AML851784 ACP851783:ACP851784 ST851783:ST851784 IX851783:IX851784 WVJ786247:WVJ786248 WLN786247:WLN786248 WBR786247:WBR786248 VRV786247:VRV786248 VHZ786247:VHZ786248 UYD786247:UYD786248 UOH786247:UOH786248 UEL786247:UEL786248 TUP786247:TUP786248 TKT786247:TKT786248 TAX786247:TAX786248 SRB786247:SRB786248 SHF786247:SHF786248 RXJ786247:RXJ786248 RNN786247:RNN786248 RDR786247:RDR786248 QTV786247:QTV786248 QJZ786247:QJZ786248 QAD786247:QAD786248 PQH786247:PQH786248 PGL786247:PGL786248 OWP786247:OWP786248 OMT786247:OMT786248 OCX786247:OCX786248 NTB786247:NTB786248 NJF786247:NJF786248 MZJ786247:MZJ786248 MPN786247:MPN786248 MFR786247:MFR786248 LVV786247:LVV786248 LLZ786247:LLZ786248 LCD786247:LCD786248 KSH786247:KSH786248 KIL786247:KIL786248 JYP786247:JYP786248 JOT786247:JOT786248 JEX786247:JEX786248 IVB786247:IVB786248 ILF786247:ILF786248 IBJ786247:IBJ786248 HRN786247:HRN786248 HHR786247:HHR786248 GXV786247:GXV786248 GNZ786247:GNZ786248 GED786247:GED786248 FUH786247:FUH786248 FKL786247:FKL786248 FAP786247:FAP786248 EQT786247:EQT786248 EGX786247:EGX786248 DXB786247:DXB786248 DNF786247:DNF786248 DDJ786247:DDJ786248 CTN786247:CTN786248 CJR786247:CJR786248 BZV786247:BZV786248 BPZ786247:BPZ786248 BGD786247:BGD786248 AWH786247:AWH786248 AML786247:AML786248 ACP786247:ACP786248 ST786247:ST786248 IX786247:IX786248 WVJ720711:WVJ720712 WLN720711:WLN720712 WBR720711:WBR720712 VRV720711:VRV720712 VHZ720711:VHZ720712 UYD720711:UYD720712 UOH720711:UOH720712 UEL720711:UEL720712 TUP720711:TUP720712 TKT720711:TKT720712 TAX720711:TAX720712 SRB720711:SRB720712 SHF720711:SHF720712 RXJ720711:RXJ720712 RNN720711:RNN720712 RDR720711:RDR720712 QTV720711:QTV720712 QJZ720711:QJZ720712 QAD720711:QAD720712 PQH720711:PQH720712 PGL720711:PGL720712 OWP720711:OWP720712 OMT720711:OMT720712 OCX720711:OCX720712 NTB720711:NTB720712 NJF720711:NJF720712 MZJ720711:MZJ720712 MPN720711:MPN720712 MFR720711:MFR720712 LVV720711:LVV720712 LLZ720711:LLZ720712 LCD720711:LCD720712 KSH720711:KSH720712 KIL720711:KIL720712 JYP720711:JYP720712 JOT720711:JOT720712 JEX720711:JEX720712 IVB720711:IVB720712 ILF720711:ILF720712 IBJ720711:IBJ720712 HRN720711:HRN720712 HHR720711:HHR720712 GXV720711:GXV720712 GNZ720711:GNZ720712 GED720711:GED720712 FUH720711:FUH720712 FKL720711:FKL720712 FAP720711:FAP720712 EQT720711:EQT720712 EGX720711:EGX720712 DXB720711:DXB720712 DNF720711:DNF720712 DDJ720711:DDJ720712 CTN720711:CTN720712 CJR720711:CJR720712 BZV720711:BZV720712 BPZ720711:BPZ720712 BGD720711:BGD720712 AWH720711:AWH720712 AML720711:AML720712 ACP720711:ACP720712 ST720711:ST720712 IX720711:IX720712 WVJ655175:WVJ655176 WLN655175:WLN655176 WBR655175:WBR655176 VRV655175:VRV655176 VHZ655175:VHZ655176 UYD655175:UYD655176 UOH655175:UOH655176 UEL655175:UEL655176 TUP655175:TUP655176 TKT655175:TKT655176 TAX655175:TAX655176 SRB655175:SRB655176 SHF655175:SHF655176 RXJ655175:RXJ655176 RNN655175:RNN655176 RDR655175:RDR655176 QTV655175:QTV655176 QJZ655175:QJZ655176 QAD655175:QAD655176 PQH655175:PQH655176 PGL655175:PGL655176 OWP655175:OWP655176 OMT655175:OMT655176 OCX655175:OCX655176 NTB655175:NTB655176 NJF655175:NJF655176 MZJ655175:MZJ655176 MPN655175:MPN655176 MFR655175:MFR655176 LVV655175:LVV655176 LLZ655175:LLZ655176 LCD655175:LCD655176 KSH655175:KSH655176 KIL655175:KIL655176 JYP655175:JYP655176 JOT655175:JOT655176 JEX655175:JEX655176 IVB655175:IVB655176 ILF655175:ILF655176 IBJ655175:IBJ655176 HRN655175:HRN655176 HHR655175:HHR655176 GXV655175:GXV655176 GNZ655175:GNZ655176 GED655175:GED655176 FUH655175:FUH655176 FKL655175:FKL655176 FAP655175:FAP655176 EQT655175:EQT655176 EGX655175:EGX655176 DXB655175:DXB655176 DNF655175:DNF655176 DDJ655175:DDJ655176 CTN655175:CTN655176 CJR655175:CJR655176 BZV655175:BZV655176 BPZ655175:BPZ655176 BGD655175:BGD655176 AWH655175:AWH655176 AML655175:AML655176 ACP655175:ACP655176 ST655175:ST655176 IX655175:IX655176 WVJ589639:WVJ589640 WLN589639:WLN589640 WBR589639:WBR589640 VRV589639:VRV589640 VHZ589639:VHZ589640 UYD589639:UYD589640 UOH589639:UOH589640 UEL589639:UEL589640 TUP589639:TUP589640 TKT589639:TKT589640 TAX589639:TAX589640 SRB589639:SRB589640 SHF589639:SHF589640 RXJ589639:RXJ589640 RNN589639:RNN589640 RDR589639:RDR589640 QTV589639:QTV589640 QJZ589639:QJZ589640 QAD589639:QAD589640 PQH589639:PQH589640 PGL589639:PGL589640 OWP589639:OWP589640 OMT589639:OMT589640 OCX589639:OCX589640 NTB589639:NTB589640 NJF589639:NJF589640 MZJ589639:MZJ589640 MPN589639:MPN589640 MFR589639:MFR589640 LVV589639:LVV589640 LLZ589639:LLZ589640 LCD589639:LCD589640 KSH589639:KSH589640 KIL589639:KIL589640 JYP589639:JYP589640 JOT589639:JOT589640 JEX589639:JEX589640 IVB589639:IVB589640 ILF589639:ILF589640 IBJ589639:IBJ589640 HRN589639:HRN589640 HHR589639:HHR589640 GXV589639:GXV589640 GNZ589639:GNZ589640 GED589639:GED589640 FUH589639:FUH589640 FKL589639:FKL589640 FAP589639:FAP589640 EQT589639:EQT589640 EGX589639:EGX589640 DXB589639:DXB589640 DNF589639:DNF589640 DDJ589639:DDJ589640 CTN589639:CTN589640 CJR589639:CJR589640 BZV589639:BZV589640 BPZ589639:BPZ589640 BGD589639:BGD589640 AWH589639:AWH589640 AML589639:AML589640 ACP589639:ACP589640 ST589639:ST589640 IX589639:IX589640 WVJ524103:WVJ524104 WLN524103:WLN524104 WBR524103:WBR524104 VRV524103:VRV524104 VHZ524103:VHZ524104 UYD524103:UYD524104 UOH524103:UOH524104 UEL524103:UEL524104 TUP524103:TUP524104 TKT524103:TKT524104 TAX524103:TAX524104 SRB524103:SRB524104 SHF524103:SHF524104 RXJ524103:RXJ524104 RNN524103:RNN524104 RDR524103:RDR524104 QTV524103:QTV524104 QJZ524103:QJZ524104 QAD524103:QAD524104 PQH524103:PQH524104 PGL524103:PGL524104 OWP524103:OWP524104 OMT524103:OMT524104 OCX524103:OCX524104 NTB524103:NTB524104 NJF524103:NJF524104 MZJ524103:MZJ524104 MPN524103:MPN524104 MFR524103:MFR524104 LVV524103:LVV524104 LLZ524103:LLZ524104 LCD524103:LCD524104 KSH524103:KSH524104 KIL524103:KIL524104 JYP524103:JYP524104 JOT524103:JOT524104 JEX524103:JEX524104 IVB524103:IVB524104 ILF524103:ILF524104 IBJ524103:IBJ524104 HRN524103:HRN524104 HHR524103:HHR524104 GXV524103:GXV524104 GNZ524103:GNZ524104 GED524103:GED524104 FUH524103:FUH524104 FKL524103:FKL524104 FAP524103:FAP524104 EQT524103:EQT524104 EGX524103:EGX524104 DXB524103:DXB524104 DNF524103:DNF524104 DDJ524103:DDJ524104 CTN524103:CTN524104 CJR524103:CJR524104 BZV524103:BZV524104 BPZ524103:BPZ524104 BGD524103:BGD524104 AWH524103:AWH524104 AML524103:AML524104 ACP524103:ACP524104 ST524103:ST524104 IX524103:IX524104 WVJ458567:WVJ458568 WLN458567:WLN458568 WBR458567:WBR458568 VRV458567:VRV458568 VHZ458567:VHZ458568 UYD458567:UYD458568 UOH458567:UOH458568 UEL458567:UEL458568 TUP458567:TUP458568 TKT458567:TKT458568 TAX458567:TAX458568 SRB458567:SRB458568 SHF458567:SHF458568 RXJ458567:RXJ458568 RNN458567:RNN458568 RDR458567:RDR458568 QTV458567:QTV458568 QJZ458567:QJZ458568 QAD458567:QAD458568 PQH458567:PQH458568 PGL458567:PGL458568 OWP458567:OWP458568 OMT458567:OMT458568 OCX458567:OCX458568 NTB458567:NTB458568 NJF458567:NJF458568 MZJ458567:MZJ458568 MPN458567:MPN458568 MFR458567:MFR458568 LVV458567:LVV458568 LLZ458567:LLZ458568 LCD458567:LCD458568 KSH458567:KSH458568 KIL458567:KIL458568 JYP458567:JYP458568 JOT458567:JOT458568 JEX458567:JEX458568 IVB458567:IVB458568 ILF458567:ILF458568 IBJ458567:IBJ458568 HRN458567:HRN458568 HHR458567:HHR458568 GXV458567:GXV458568 GNZ458567:GNZ458568 GED458567:GED458568 FUH458567:FUH458568 FKL458567:FKL458568 FAP458567:FAP458568 EQT458567:EQT458568 EGX458567:EGX458568 DXB458567:DXB458568 DNF458567:DNF458568 DDJ458567:DDJ458568 CTN458567:CTN458568 CJR458567:CJR458568 BZV458567:BZV458568 BPZ458567:BPZ458568 BGD458567:BGD458568 AWH458567:AWH458568 AML458567:AML458568 ACP458567:ACP458568 ST458567:ST458568 IX458567:IX458568 WVJ393031:WVJ393032 WLN393031:WLN393032 WBR393031:WBR393032 VRV393031:VRV393032 VHZ393031:VHZ393032 UYD393031:UYD393032 UOH393031:UOH393032 UEL393031:UEL393032 TUP393031:TUP393032 TKT393031:TKT393032 TAX393031:TAX393032 SRB393031:SRB393032 SHF393031:SHF393032 RXJ393031:RXJ393032 RNN393031:RNN393032 RDR393031:RDR393032 QTV393031:QTV393032 QJZ393031:QJZ393032 QAD393031:QAD393032 PQH393031:PQH393032 PGL393031:PGL393032 OWP393031:OWP393032 OMT393031:OMT393032 OCX393031:OCX393032 NTB393031:NTB393032 NJF393031:NJF393032 MZJ393031:MZJ393032 MPN393031:MPN393032 MFR393031:MFR393032 LVV393031:LVV393032 LLZ393031:LLZ393032 LCD393031:LCD393032 KSH393031:KSH393032 KIL393031:KIL393032 JYP393031:JYP393032 JOT393031:JOT393032 JEX393031:JEX393032 IVB393031:IVB393032 ILF393031:ILF393032 IBJ393031:IBJ393032 HRN393031:HRN393032 HHR393031:HHR393032 GXV393031:GXV393032 GNZ393031:GNZ393032 GED393031:GED393032 FUH393031:FUH393032 FKL393031:FKL393032 FAP393031:FAP393032 EQT393031:EQT393032 EGX393031:EGX393032 DXB393031:DXB393032 DNF393031:DNF393032 DDJ393031:DDJ393032 CTN393031:CTN393032 CJR393031:CJR393032 BZV393031:BZV393032 BPZ393031:BPZ393032 BGD393031:BGD393032 AWH393031:AWH393032 AML393031:AML393032 ACP393031:ACP393032 ST393031:ST393032 IX393031:IX393032 WVJ327495:WVJ327496 WLN327495:WLN327496 WBR327495:WBR327496 VRV327495:VRV327496 VHZ327495:VHZ327496 UYD327495:UYD327496 UOH327495:UOH327496 UEL327495:UEL327496 TUP327495:TUP327496 TKT327495:TKT327496 TAX327495:TAX327496 SRB327495:SRB327496 SHF327495:SHF327496 RXJ327495:RXJ327496 RNN327495:RNN327496 RDR327495:RDR327496 QTV327495:QTV327496 QJZ327495:QJZ327496 QAD327495:QAD327496 PQH327495:PQH327496 PGL327495:PGL327496 OWP327495:OWP327496 OMT327495:OMT327496 OCX327495:OCX327496 NTB327495:NTB327496 NJF327495:NJF327496 MZJ327495:MZJ327496 MPN327495:MPN327496 MFR327495:MFR327496 LVV327495:LVV327496 LLZ327495:LLZ327496 LCD327495:LCD327496 KSH327495:KSH327496 KIL327495:KIL327496 JYP327495:JYP327496 JOT327495:JOT327496 JEX327495:JEX327496 IVB327495:IVB327496 ILF327495:ILF327496 IBJ327495:IBJ327496 HRN327495:HRN327496 HHR327495:HHR327496 GXV327495:GXV327496 GNZ327495:GNZ327496 GED327495:GED327496 FUH327495:FUH327496 FKL327495:FKL327496 FAP327495:FAP327496 EQT327495:EQT327496 EGX327495:EGX327496 DXB327495:DXB327496 DNF327495:DNF327496 DDJ327495:DDJ327496 CTN327495:CTN327496 CJR327495:CJR327496 BZV327495:BZV327496 BPZ327495:BPZ327496 BGD327495:BGD327496 AWH327495:AWH327496 AML327495:AML327496 ACP327495:ACP327496 ST327495:ST327496 IX327495:IX327496 WVJ261959:WVJ261960 WLN261959:WLN261960 WBR261959:WBR261960 VRV261959:VRV261960 VHZ261959:VHZ261960 UYD261959:UYD261960 UOH261959:UOH261960 UEL261959:UEL261960 TUP261959:TUP261960 TKT261959:TKT261960 TAX261959:TAX261960 SRB261959:SRB261960 SHF261959:SHF261960 RXJ261959:RXJ261960 RNN261959:RNN261960 RDR261959:RDR261960 QTV261959:QTV261960 QJZ261959:QJZ261960 QAD261959:QAD261960 PQH261959:PQH261960 PGL261959:PGL261960 OWP261959:OWP261960 OMT261959:OMT261960 OCX261959:OCX261960 NTB261959:NTB261960 NJF261959:NJF261960 MZJ261959:MZJ261960 MPN261959:MPN261960 MFR261959:MFR261960 LVV261959:LVV261960 LLZ261959:LLZ261960 LCD261959:LCD261960 KSH261959:KSH261960 KIL261959:KIL261960 JYP261959:JYP261960 JOT261959:JOT261960 JEX261959:JEX261960 IVB261959:IVB261960 ILF261959:ILF261960 IBJ261959:IBJ261960 HRN261959:HRN261960 HHR261959:HHR261960 GXV261959:GXV261960 GNZ261959:GNZ261960 GED261959:GED261960 FUH261959:FUH261960 FKL261959:FKL261960 FAP261959:FAP261960 EQT261959:EQT261960 EGX261959:EGX261960 DXB261959:DXB261960 DNF261959:DNF261960 DDJ261959:DDJ261960 CTN261959:CTN261960 CJR261959:CJR261960 BZV261959:BZV261960 BPZ261959:BPZ261960 BGD261959:BGD261960 AWH261959:AWH261960 AML261959:AML261960 ACP261959:ACP261960 ST261959:ST261960 IX261959:IX261960 WVJ196423:WVJ196424 WLN196423:WLN196424 WBR196423:WBR196424 VRV196423:VRV196424 VHZ196423:VHZ196424 UYD196423:UYD196424 UOH196423:UOH196424 UEL196423:UEL196424 TUP196423:TUP196424 TKT196423:TKT196424 TAX196423:TAX196424 SRB196423:SRB196424 SHF196423:SHF196424 RXJ196423:RXJ196424 RNN196423:RNN196424 RDR196423:RDR196424 QTV196423:QTV196424 QJZ196423:QJZ196424 QAD196423:QAD196424 PQH196423:PQH196424 PGL196423:PGL196424 OWP196423:OWP196424 OMT196423:OMT196424 OCX196423:OCX196424 NTB196423:NTB196424 NJF196423:NJF196424 MZJ196423:MZJ196424 MPN196423:MPN196424 MFR196423:MFR196424 LVV196423:LVV196424 LLZ196423:LLZ196424 LCD196423:LCD196424 KSH196423:KSH196424 KIL196423:KIL196424 JYP196423:JYP196424 JOT196423:JOT196424 JEX196423:JEX196424 IVB196423:IVB196424 ILF196423:ILF196424 IBJ196423:IBJ196424 HRN196423:HRN196424 HHR196423:HHR196424 GXV196423:GXV196424 GNZ196423:GNZ196424 GED196423:GED196424 FUH196423:FUH196424 FKL196423:FKL196424 FAP196423:FAP196424 EQT196423:EQT196424 EGX196423:EGX196424 DXB196423:DXB196424 DNF196423:DNF196424 DDJ196423:DDJ196424 CTN196423:CTN196424 CJR196423:CJR196424 BZV196423:BZV196424 BPZ196423:BPZ196424 BGD196423:BGD196424 AWH196423:AWH196424 AML196423:AML196424 ACP196423:ACP196424 ST196423:ST196424 IX196423:IX196424 WVJ130887:WVJ130888 WLN130887:WLN130888 WBR130887:WBR130888 VRV130887:VRV130888 VHZ130887:VHZ130888 UYD130887:UYD130888 UOH130887:UOH130888 UEL130887:UEL130888 TUP130887:TUP130888 TKT130887:TKT130888 TAX130887:TAX130888 SRB130887:SRB130888 SHF130887:SHF130888 RXJ130887:RXJ130888 RNN130887:RNN130888 RDR130887:RDR130888 QTV130887:QTV130888 QJZ130887:QJZ130888 QAD130887:QAD130888 PQH130887:PQH130888 PGL130887:PGL130888 OWP130887:OWP130888 OMT130887:OMT130888 OCX130887:OCX130888 NTB130887:NTB130888 NJF130887:NJF130888 MZJ130887:MZJ130888 MPN130887:MPN130888 MFR130887:MFR130888 LVV130887:LVV130888 LLZ130887:LLZ130888 LCD130887:LCD130888 KSH130887:KSH130888 KIL130887:KIL130888 JYP130887:JYP130888 JOT130887:JOT130888 JEX130887:JEX130888 IVB130887:IVB130888 ILF130887:ILF130888 IBJ130887:IBJ130888 HRN130887:HRN130888 HHR130887:HHR130888 GXV130887:GXV130888 GNZ130887:GNZ130888 GED130887:GED130888 FUH130887:FUH130888 FKL130887:FKL130888 FAP130887:FAP130888 EQT130887:EQT130888 EGX130887:EGX130888 DXB130887:DXB130888 DNF130887:DNF130888 DDJ130887:DDJ130888 CTN130887:CTN130888 CJR130887:CJR130888 BZV130887:BZV130888 BPZ130887:BPZ130888 BGD130887:BGD130888 AWH130887:AWH130888 AML130887:AML130888 ACP130887:ACP130888 ST130887:ST130888 IX130887:IX130888 WVJ65351:WVJ65352 WLN65351:WLN65352 WBR65351:WBR65352 VRV65351:VRV65352 VHZ65351:VHZ65352 UYD65351:UYD65352 UOH65351:UOH65352 UEL65351:UEL65352 TUP65351:TUP65352 TKT65351:TKT65352 TAX65351:TAX65352 SRB65351:SRB65352 SHF65351:SHF65352 RXJ65351:RXJ65352 RNN65351:RNN65352 RDR65351:RDR65352 QTV65351:QTV65352 QJZ65351:QJZ65352 QAD65351:QAD65352 PQH65351:PQH65352 PGL65351:PGL65352 OWP65351:OWP65352 OMT65351:OMT65352 OCX65351:OCX65352 NTB65351:NTB65352 NJF65351:NJF65352 MZJ65351:MZJ65352 MPN65351:MPN65352 MFR65351:MFR65352 LVV65351:LVV65352 LLZ65351:LLZ65352 LCD65351:LCD65352 KSH65351:KSH65352 KIL65351:KIL65352 JYP65351:JYP65352 JOT65351:JOT65352 JEX65351:JEX65352 IVB65351:IVB65352 ILF65351:ILF65352 IBJ65351:IBJ65352 HRN65351:HRN65352 HHR65351:HHR65352 GXV65351:GXV65352 GNZ65351:GNZ65352 GED65351:GED65352 FUH65351:FUH65352 FKL65351:FKL65352 FAP65351:FAP65352 EQT65351:EQT65352 EGX65351:EGX65352 DXB65351:DXB65352 DNF65351:DNF65352 DDJ65351:DDJ65352 CTN65351:CTN65352 CJR65351:CJR65352 BZV65351:BZV65352 BPZ65351:BPZ65352 BGD65351:BGD65352 AWH65351:AWH65352 AML65351:AML65352 ACP65351:ACP65352 ST65351:ST65352 IX65351:IX65352 VHR982785 WVC982793:WVC982795 WLG982793:WLG982795 WBK982793:WBK982795 VRO982793:VRO982795 VHS982793:VHS982795 UXW982793:UXW982795 UOA982793:UOA982795 UEE982793:UEE982795 TUI982793:TUI982795 TKM982793:TKM982795 TAQ982793:TAQ982795 SQU982793:SQU982795 SGY982793:SGY982795 RXC982793:RXC982795 RNG982793:RNG982795 RDK982793:RDK982795 QTO982793:QTO982795 QJS982793:QJS982795 PZW982793:PZW982795 PQA982793:PQA982795 PGE982793:PGE982795 OWI982793:OWI982795 OMM982793:OMM982795 OCQ982793:OCQ982795 NSU982793:NSU982795 NIY982793:NIY982795 MZC982793:MZC982795 MPG982793:MPG982795 MFK982793:MFK982795 LVO982793:LVO982795 LLS982793:LLS982795 LBW982793:LBW982795 KSA982793:KSA982795 KIE982793:KIE982795 JYI982793:JYI982795 JOM982793:JOM982795 JEQ982793:JEQ982795 IUU982793:IUU982795 IKY982793:IKY982795 IBC982793:IBC982795 HRG982793:HRG982795 HHK982793:HHK982795 GXO982793:GXO982795 GNS982793:GNS982795 GDW982793:GDW982795 FUA982793:FUA982795 FKE982793:FKE982795 FAI982793:FAI982795 EQM982793:EQM982795 EGQ982793:EGQ982795 DWU982793:DWU982795 DMY982793:DMY982795 DDC982793:DDC982795 CTG982793:CTG982795 CJK982793:CJK982795 BZO982793:BZO982795 BPS982793:BPS982795 BFW982793:BFW982795 AWA982793:AWA982795 AME982793:AME982795 ACI982793:ACI982795 SM982793:SM982795 IQ982793:IQ982795 WVC917257:WVC917259 WLG917257:WLG917259 WBK917257:WBK917259 VRO917257:VRO917259 VHS917257:VHS917259 UXW917257:UXW917259 UOA917257:UOA917259 UEE917257:UEE917259 TUI917257:TUI917259 TKM917257:TKM917259 TAQ917257:TAQ917259 SQU917257:SQU917259 SGY917257:SGY917259 RXC917257:RXC917259 RNG917257:RNG917259 RDK917257:RDK917259 QTO917257:QTO917259 QJS917257:QJS917259 PZW917257:PZW917259 PQA917257:PQA917259 PGE917257:PGE917259 OWI917257:OWI917259 OMM917257:OMM917259 OCQ917257:OCQ917259 NSU917257:NSU917259 NIY917257:NIY917259 MZC917257:MZC917259 MPG917257:MPG917259 MFK917257:MFK917259 LVO917257:LVO917259 LLS917257:LLS917259 LBW917257:LBW917259 KSA917257:KSA917259 KIE917257:KIE917259 JYI917257:JYI917259 JOM917257:JOM917259 JEQ917257:JEQ917259 IUU917257:IUU917259 IKY917257:IKY917259 IBC917257:IBC917259 HRG917257:HRG917259 HHK917257:HHK917259 GXO917257:GXO917259 GNS917257:GNS917259 GDW917257:GDW917259 FUA917257:FUA917259 FKE917257:FKE917259 FAI917257:FAI917259 EQM917257:EQM917259 EGQ917257:EGQ917259 DWU917257:DWU917259 DMY917257:DMY917259 DDC917257:DDC917259 CTG917257:CTG917259 CJK917257:CJK917259 BZO917257:BZO917259 BPS917257:BPS917259 BFW917257:BFW917259 AWA917257:AWA917259 AME917257:AME917259 ACI917257:ACI917259 SM917257:SM917259 IQ917257:IQ917259 WVC851721:WVC851723 WLG851721:WLG851723 WBK851721:WBK851723 VRO851721:VRO851723 VHS851721:VHS851723 UXW851721:UXW851723 UOA851721:UOA851723 UEE851721:UEE851723 TUI851721:TUI851723 TKM851721:TKM851723 TAQ851721:TAQ851723 SQU851721:SQU851723 SGY851721:SGY851723 RXC851721:RXC851723 RNG851721:RNG851723 RDK851721:RDK851723 QTO851721:QTO851723 QJS851721:QJS851723 PZW851721:PZW851723 PQA851721:PQA851723 PGE851721:PGE851723 OWI851721:OWI851723 OMM851721:OMM851723 OCQ851721:OCQ851723 NSU851721:NSU851723 NIY851721:NIY851723 MZC851721:MZC851723 MPG851721:MPG851723 MFK851721:MFK851723 LVO851721:LVO851723 LLS851721:LLS851723 LBW851721:LBW851723 KSA851721:KSA851723 KIE851721:KIE851723 JYI851721:JYI851723 JOM851721:JOM851723 JEQ851721:JEQ851723 IUU851721:IUU851723 IKY851721:IKY851723 IBC851721:IBC851723 HRG851721:HRG851723 HHK851721:HHK851723 GXO851721:GXO851723 GNS851721:GNS851723 GDW851721:GDW851723 FUA851721:FUA851723 FKE851721:FKE851723 FAI851721:FAI851723 EQM851721:EQM851723 EGQ851721:EGQ851723 DWU851721:DWU851723 DMY851721:DMY851723 DDC851721:DDC851723 CTG851721:CTG851723 CJK851721:CJK851723 BZO851721:BZO851723 BPS851721:BPS851723 BFW851721:BFW851723 AWA851721:AWA851723 AME851721:AME851723 ACI851721:ACI851723 SM851721:SM851723 IQ851721:IQ851723 WVC786185:WVC786187 WLG786185:WLG786187 WBK786185:WBK786187 VRO786185:VRO786187 VHS786185:VHS786187 UXW786185:UXW786187 UOA786185:UOA786187 UEE786185:UEE786187 TUI786185:TUI786187 TKM786185:TKM786187 TAQ786185:TAQ786187 SQU786185:SQU786187 SGY786185:SGY786187 RXC786185:RXC786187 RNG786185:RNG786187 RDK786185:RDK786187 QTO786185:QTO786187 QJS786185:QJS786187 PZW786185:PZW786187 PQA786185:PQA786187 PGE786185:PGE786187 OWI786185:OWI786187 OMM786185:OMM786187 OCQ786185:OCQ786187 NSU786185:NSU786187 NIY786185:NIY786187 MZC786185:MZC786187 MPG786185:MPG786187 MFK786185:MFK786187 LVO786185:LVO786187 LLS786185:LLS786187 LBW786185:LBW786187 KSA786185:KSA786187 KIE786185:KIE786187 JYI786185:JYI786187 JOM786185:JOM786187 JEQ786185:JEQ786187 IUU786185:IUU786187 IKY786185:IKY786187 IBC786185:IBC786187 HRG786185:HRG786187 HHK786185:HHK786187 GXO786185:GXO786187 GNS786185:GNS786187 GDW786185:GDW786187 FUA786185:FUA786187 FKE786185:FKE786187 FAI786185:FAI786187 EQM786185:EQM786187 EGQ786185:EGQ786187 DWU786185:DWU786187 DMY786185:DMY786187 DDC786185:DDC786187 CTG786185:CTG786187 CJK786185:CJK786187 BZO786185:BZO786187 BPS786185:BPS786187 BFW786185:BFW786187 AWA786185:AWA786187 AME786185:AME786187 ACI786185:ACI786187 SM786185:SM786187 IQ786185:IQ786187 WVC720649:WVC720651 WLG720649:WLG720651 WBK720649:WBK720651 VRO720649:VRO720651 VHS720649:VHS720651 UXW720649:UXW720651 UOA720649:UOA720651 UEE720649:UEE720651 TUI720649:TUI720651 TKM720649:TKM720651 TAQ720649:TAQ720651 SQU720649:SQU720651 SGY720649:SGY720651 RXC720649:RXC720651 RNG720649:RNG720651 RDK720649:RDK720651 QTO720649:QTO720651 QJS720649:QJS720651 PZW720649:PZW720651 PQA720649:PQA720651 PGE720649:PGE720651 OWI720649:OWI720651 OMM720649:OMM720651 OCQ720649:OCQ720651 NSU720649:NSU720651 NIY720649:NIY720651 MZC720649:MZC720651 MPG720649:MPG720651 MFK720649:MFK720651 LVO720649:LVO720651 LLS720649:LLS720651 LBW720649:LBW720651 KSA720649:KSA720651 KIE720649:KIE720651 JYI720649:JYI720651 JOM720649:JOM720651 JEQ720649:JEQ720651 IUU720649:IUU720651 IKY720649:IKY720651 IBC720649:IBC720651 HRG720649:HRG720651 HHK720649:HHK720651 GXO720649:GXO720651 GNS720649:GNS720651 GDW720649:GDW720651 FUA720649:FUA720651 FKE720649:FKE720651 FAI720649:FAI720651 EQM720649:EQM720651 EGQ720649:EGQ720651 DWU720649:DWU720651 DMY720649:DMY720651 DDC720649:DDC720651 CTG720649:CTG720651 CJK720649:CJK720651 BZO720649:BZO720651 BPS720649:BPS720651 BFW720649:BFW720651 AWA720649:AWA720651 AME720649:AME720651 ACI720649:ACI720651 SM720649:SM720651 IQ720649:IQ720651 WVC655113:WVC655115 WLG655113:WLG655115 WBK655113:WBK655115 VRO655113:VRO655115 VHS655113:VHS655115 UXW655113:UXW655115 UOA655113:UOA655115 UEE655113:UEE655115 TUI655113:TUI655115 TKM655113:TKM655115 TAQ655113:TAQ655115 SQU655113:SQU655115 SGY655113:SGY655115 RXC655113:RXC655115 RNG655113:RNG655115 RDK655113:RDK655115 QTO655113:QTO655115 QJS655113:QJS655115 PZW655113:PZW655115 PQA655113:PQA655115 PGE655113:PGE655115 OWI655113:OWI655115 OMM655113:OMM655115 OCQ655113:OCQ655115 NSU655113:NSU655115 NIY655113:NIY655115 MZC655113:MZC655115 MPG655113:MPG655115 MFK655113:MFK655115 LVO655113:LVO655115 LLS655113:LLS655115 LBW655113:LBW655115 KSA655113:KSA655115 KIE655113:KIE655115 JYI655113:JYI655115 JOM655113:JOM655115 JEQ655113:JEQ655115 IUU655113:IUU655115 IKY655113:IKY655115 IBC655113:IBC655115 HRG655113:HRG655115 HHK655113:HHK655115 GXO655113:GXO655115 GNS655113:GNS655115 GDW655113:GDW655115 FUA655113:FUA655115 FKE655113:FKE655115 FAI655113:FAI655115 EQM655113:EQM655115 EGQ655113:EGQ655115 DWU655113:DWU655115 DMY655113:DMY655115 DDC655113:DDC655115 CTG655113:CTG655115 CJK655113:CJK655115 BZO655113:BZO655115 BPS655113:BPS655115 BFW655113:BFW655115 AWA655113:AWA655115 AME655113:AME655115 ACI655113:ACI655115 SM655113:SM655115 IQ655113:IQ655115 WVC589577:WVC589579 WLG589577:WLG589579 WBK589577:WBK589579 VRO589577:VRO589579 VHS589577:VHS589579 UXW589577:UXW589579 UOA589577:UOA589579 UEE589577:UEE589579 TUI589577:TUI589579 TKM589577:TKM589579 TAQ589577:TAQ589579 SQU589577:SQU589579 SGY589577:SGY589579 RXC589577:RXC589579 RNG589577:RNG589579 RDK589577:RDK589579 QTO589577:QTO589579 QJS589577:QJS589579 PZW589577:PZW589579 PQA589577:PQA589579 PGE589577:PGE589579 OWI589577:OWI589579 OMM589577:OMM589579 OCQ589577:OCQ589579 NSU589577:NSU589579 NIY589577:NIY589579 MZC589577:MZC589579 MPG589577:MPG589579 MFK589577:MFK589579 LVO589577:LVO589579 LLS589577:LLS589579 LBW589577:LBW589579 KSA589577:KSA589579 KIE589577:KIE589579 JYI589577:JYI589579 JOM589577:JOM589579 JEQ589577:JEQ589579 IUU589577:IUU589579 IKY589577:IKY589579 IBC589577:IBC589579 HRG589577:HRG589579 HHK589577:HHK589579 GXO589577:GXO589579 GNS589577:GNS589579 GDW589577:GDW589579 FUA589577:FUA589579 FKE589577:FKE589579 FAI589577:FAI589579 EQM589577:EQM589579 EGQ589577:EGQ589579 DWU589577:DWU589579 DMY589577:DMY589579 DDC589577:DDC589579 CTG589577:CTG589579 CJK589577:CJK589579 BZO589577:BZO589579 BPS589577:BPS589579 BFW589577:BFW589579 AWA589577:AWA589579 AME589577:AME589579 ACI589577:ACI589579 SM589577:SM589579 IQ589577:IQ589579 WVC524041:WVC524043 WLG524041:WLG524043 WBK524041:WBK524043 VRO524041:VRO524043 VHS524041:VHS524043 UXW524041:UXW524043 UOA524041:UOA524043 UEE524041:UEE524043 TUI524041:TUI524043 TKM524041:TKM524043 TAQ524041:TAQ524043 SQU524041:SQU524043 SGY524041:SGY524043 RXC524041:RXC524043 RNG524041:RNG524043 RDK524041:RDK524043 QTO524041:QTO524043 QJS524041:QJS524043 PZW524041:PZW524043 PQA524041:PQA524043 PGE524041:PGE524043 OWI524041:OWI524043 OMM524041:OMM524043 OCQ524041:OCQ524043 NSU524041:NSU524043 NIY524041:NIY524043 MZC524041:MZC524043 MPG524041:MPG524043 MFK524041:MFK524043 LVO524041:LVO524043 LLS524041:LLS524043 LBW524041:LBW524043 KSA524041:KSA524043 KIE524041:KIE524043 JYI524041:JYI524043 JOM524041:JOM524043 JEQ524041:JEQ524043 IUU524041:IUU524043 IKY524041:IKY524043 IBC524041:IBC524043 HRG524041:HRG524043 HHK524041:HHK524043 GXO524041:GXO524043 GNS524041:GNS524043 GDW524041:GDW524043 FUA524041:FUA524043 FKE524041:FKE524043 FAI524041:FAI524043 EQM524041:EQM524043 EGQ524041:EGQ524043 DWU524041:DWU524043 DMY524041:DMY524043 DDC524041:DDC524043 CTG524041:CTG524043 CJK524041:CJK524043 BZO524041:BZO524043 BPS524041:BPS524043 BFW524041:BFW524043 AWA524041:AWA524043 AME524041:AME524043 ACI524041:ACI524043 SM524041:SM524043 IQ524041:IQ524043 WVC458505:WVC458507 WLG458505:WLG458507 WBK458505:WBK458507 VRO458505:VRO458507 VHS458505:VHS458507 UXW458505:UXW458507 UOA458505:UOA458507 UEE458505:UEE458507 TUI458505:TUI458507 TKM458505:TKM458507 TAQ458505:TAQ458507 SQU458505:SQU458507 SGY458505:SGY458507 RXC458505:RXC458507 RNG458505:RNG458507 RDK458505:RDK458507 QTO458505:QTO458507 QJS458505:QJS458507 PZW458505:PZW458507 PQA458505:PQA458507 PGE458505:PGE458507 OWI458505:OWI458507 OMM458505:OMM458507 OCQ458505:OCQ458507 NSU458505:NSU458507 NIY458505:NIY458507 MZC458505:MZC458507 MPG458505:MPG458507 MFK458505:MFK458507 LVO458505:LVO458507 LLS458505:LLS458507 LBW458505:LBW458507 KSA458505:KSA458507 KIE458505:KIE458507 JYI458505:JYI458507 JOM458505:JOM458507 JEQ458505:JEQ458507 IUU458505:IUU458507 IKY458505:IKY458507 IBC458505:IBC458507 HRG458505:HRG458507 HHK458505:HHK458507 GXO458505:GXO458507 GNS458505:GNS458507 GDW458505:GDW458507 FUA458505:FUA458507 FKE458505:FKE458507 FAI458505:FAI458507 EQM458505:EQM458507 EGQ458505:EGQ458507 DWU458505:DWU458507 DMY458505:DMY458507 DDC458505:DDC458507 CTG458505:CTG458507 CJK458505:CJK458507 BZO458505:BZO458507 BPS458505:BPS458507 BFW458505:BFW458507 AWA458505:AWA458507 AME458505:AME458507 ACI458505:ACI458507 SM458505:SM458507 IQ458505:IQ458507 WVC392969:WVC392971 WLG392969:WLG392971 WBK392969:WBK392971 VRO392969:VRO392971 VHS392969:VHS392971 UXW392969:UXW392971 UOA392969:UOA392971 UEE392969:UEE392971 TUI392969:TUI392971 TKM392969:TKM392971 TAQ392969:TAQ392971 SQU392969:SQU392971 SGY392969:SGY392971 RXC392969:RXC392971 RNG392969:RNG392971 RDK392969:RDK392971 QTO392969:QTO392971 QJS392969:QJS392971 PZW392969:PZW392971 PQA392969:PQA392971 PGE392969:PGE392971 OWI392969:OWI392971 OMM392969:OMM392971 OCQ392969:OCQ392971 NSU392969:NSU392971 NIY392969:NIY392971 MZC392969:MZC392971 MPG392969:MPG392971 MFK392969:MFK392971 LVO392969:LVO392971 LLS392969:LLS392971 LBW392969:LBW392971 KSA392969:KSA392971 KIE392969:KIE392971 JYI392969:JYI392971 JOM392969:JOM392971 JEQ392969:JEQ392971 IUU392969:IUU392971 IKY392969:IKY392971 IBC392969:IBC392971 HRG392969:HRG392971 HHK392969:HHK392971 GXO392969:GXO392971 GNS392969:GNS392971 GDW392969:GDW392971 FUA392969:FUA392971 FKE392969:FKE392971 FAI392969:FAI392971 EQM392969:EQM392971 EGQ392969:EGQ392971 DWU392969:DWU392971 DMY392969:DMY392971 DDC392969:DDC392971 CTG392969:CTG392971 CJK392969:CJK392971 BZO392969:BZO392971 BPS392969:BPS392971 BFW392969:BFW392971 AWA392969:AWA392971 AME392969:AME392971 ACI392969:ACI392971 SM392969:SM392971 IQ392969:IQ392971 WVC327433:WVC327435 WLG327433:WLG327435 WBK327433:WBK327435 VRO327433:VRO327435 VHS327433:VHS327435 UXW327433:UXW327435 UOA327433:UOA327435 UEE327433:UEE327435 TUI327433:TUI327435 TKM327433:TKM327435 TAQ327433:TAQ327435 SQU327433:SQU327435 SGY327433:SGY327435 RXC327433:RXC327435 RNG327433:RNG327435 RDK327433:RDK327435 QTO327433:QTO327435 QJS327433:QJS327435 PZW327433:PZW327435 PQA327433:PQA327435 PGE327433:PGE327435 OWI327433:OWI327435 OMM327433:OMM327435 OCQ327433:OCQ327435 NSU327433:NSU327435 NIY327433:NIY327435 MZC327433:MZC327435 MPG327433:MPG327435 MFK327433:MFK327435 LVO327433:LVO327435 LLS327433:LLS327435 LBW327433:LBW327435 KSA327433:KSA327435 KIE327433:KIE327435 JYI327433:JYI327435 JOM327433:JOM327435 JEQ327433:JEQ327435 IUU327433:IUU327435 IKY327433:IKY327435 IBC327433:IBC327435 HRG327433:HRG327435 HHK327433:HHK327435 GXO327433:GXO327435 GNS327433:GNS327435 GDW327433:GDW327435 FUA327433:FUA327435 FKE327433:FKE327435 FAI327433:FAI327435 EQM327433:EQM327435 EGQ327433:EGQ327435 DWU327433:DWU327435 DMY327433:DMY327435 DDC327433:DDC327435 CTG327433:CTG327435 CJK327433:CJK327435 BZO327433:BZO327435 BPS327433:BPS327435 BFW327433:BFW327435 AWA327433:AWA327435 AME327433:AME327435 ACI327433:ACI327435 SM327433:SM327435 IQ327433:IQ327435 WVC261897:WVC261899 WLG261897:WLG261899 WBK261897:WBK261899 VRO261897:VRO261899 VHS261897:VHS261899 UXW261897:UXW261899 UOA261897:UOA261899 UEE261897:UEE261899 TUI261897:TUI261899 TKM261897:TKM261899 TAQ261897:TAQ261899 SQU261897:SQU261899 SGY261897:SGY261899 RXC261897:RXC261899 RNG261897:RNG261899 RDK261897:RDK261899 QTO261897:QTO261899 QJS261897:QJS261899 PZW261897:PZW261899 PQA261897:PQA261899 PGE261897:PGE261899 OWI261897:OWI261899 OMM261897:OMM261899 OCQ261897:OCQ261899 NSU261897:NSU261899 NIY261897:NIY261899 MZC261897:MZC261899 MPG261897:MPG261899 MFK261897:MFK261899 LVO261897:LVO261899 LLS261897:LLS261899 LBW261897:LBW261899 KSA261897:KSA261899 KIE261897:KIE261899 JYI261897:JYI261899 JOM261897:JOM261899 JEQ261897:JEQ261899 IUU261897:IUU261899 IKY261897:IKY261899 IBC261897:IBC261899 HRG261897:HRG261899 HHK261897:HHK261899 GXO261897:GXO261899 GNS261897:GNS261899 GDW261897:GDW261899 FUA261897:FUA261899 FKE261897:FKE261899 FAI261897:FAI261899 EQM261897:EQM261899 EGQ261897:EGQ261899 DWU261897:DWU261899 DMY261897:DMY261899 DDC261897:DDC261899 CTG261897:CTG261899 CJK261897:CJK261899 BZO261897:BZO261899 BPS261897:BPS261899 BFW261897:BFW261899 AWA261897:AWA261899 AME261897:AME261899 ACI261897:ACI261899 SM261897:SM261899 IQ261897:IQ261899 WVC196361:WVC196363 WLG196361:WLG196363 WBK196361:WBK196363 VRO196361:VRO196363 VHS196361:VHS196363 UXW196361:UXW196363 UOA196361:UOA196363 UEE196361:UEE196363 TUI196361:TUI196363 TKM196361:TKM196363 TAQ196361:TAQ196363 SQU196361:SQU196363 SGY196361:SGY196363 RXC196361:RXC196363 RNG196361:RNG196363 RDK196361:RDK196363 QTO196361:QTO196363 QJS196361:QJS196363 PZW196361:PZW196363 PQA196361:PQA196363 PGE196361:PGE196363 OWI196361:OWI196363 OMM196361:OMM196363 OCQ196361:OCQ196363 NSU196361:NSU196363 NIY196361:NIY196363 MZC196361:MZC196363 MPG196361:MPG196363 MFK196361:MFK196363 LVO196361:LVO196363 LLS196361:LLS196363 LBW196361:LBW196363 KSA196361:KSA196363 KIE196361:KIE196363 JYI196361:JYI196363 JOM196361:JOM196363 JEQ196361:JEQ196363 IUU196361:IUU196363 IKY196361:IKY196363 IBC196361:IBC196363 HRG196361:HRG196363 HHK196361:HHK196363 GXO196361:GXO196363 GNS196361:GNS196363 GDW196361:GDW196363 FUA196361:FUA196363 FKE196361:FKE196363 FAI196361:FAI196363 EQM196361:EQM196363 EGQ196361:EGQ196363 DWU196361:DWU196363 DMY196361:DMY196363 DDC196361:DDC196363 CTG196361:CTG196363 CJK196361:CJK196363 BZO196361:BZO196363 BPS196361:BPS196363 BFW196361:BFW196363 AWA196361:AWA196363 AME196361:AME196363 ACI196361:ACI196363 SM196361:SM196363 IQ196361:IQ196363 WVC130825:WVC130827 WLG130825:WLG130827 WBK130825:WBK130827 VRO130825:VRO130827 VHS130825:VHS130827 UXW130825:UXW130827 UOA130825:UOA130827 UEE130825:UEE130827 TUI130825:TUI130827 TKM130825:TKM130827 TAQ130825:TAQ130827 SQU130825:SQU130827 SGY130825:SGY130827 RXC130825:RXC130827 RNG130825:RNG130827 RDK130825:RDK130827 QTO130825:QTO130827 QJS130825:QJS130827 PZW130825:PZW130827 PQA130825:PQA130827 PGE130825:PGE130827 OWI130825:OWI130827 OMM130825:OMM130827 OCQ130825:OCQ130827 NSU130825:NSU130827 NIY130825:NIY130827 MZC130825:MZC130827 MPG130825:MPG130827 MFK130825:MFK130827 LVO130825:LVO130827 LLS130825:LLS130827 LBW130825:LBW130827 KSA130825:KSA130827 KIE130825:KIE130827 JYI130825:JYI130827 JOM130825:JOM130827 JEQ130825:JEQ130827 IUU130825:IUU130827 IKY130825:IKY130827 IBC130825:IBC130827 HRG130825:HRG130827 HHK130825:HHK130827 GXO130825:GXO130827 GNS130825:GNS130827 GDW130825:GDW130827 FUA130825:FUA130827 FKE130825:FKE130827 FAI130825:FAI130827 EQM130825:EQM130827 EGQ130825:EGQ130827 DWU130825:DWU130827 DMY130825:DMY130827 DDC130825:DDC130827 CTG130825:CTG130827 CJK130825:CJK130827 BZO130825:BZO130827 BPS130825:BPS130827 BFW130825:BFW130827 AWA130825:AWA130827 AME130825:AME130827 ACI130825:ACI130827 SM130825:SM130827 IQ130825:IQ130827 WVC65289:WVC65291 WLG65289:WLG65291 WBK65289:WBK65291 VRO65289:VRO65291 VHS65289:VHS65291 UXW65289:UXW65291 UOA65289:UOA65291 UEE65289:UEE65291 TUI65289:TUI65291 TKM65289:TKM65291 TAQ65289:TAQ65291 SQU65289:SQU65291 SGY65289:SGY65291 RXC65289:RXC65291 RNG65289:RNG65291 RDK65289:RDK65291 QTO65289:QTO65291 QJS65289:QJS65291 PZW65289:PZW65291 PQA65289:PQA65291 PGE65289:PGE65291 OWI65289:OWI65291 OMM65289:OMM65291 OCQ65289:OCQ65291 NSU65289:NSU65291 NIY65289:NIY65291 MZC65289:MZC65291 MPG65289:MPG65291 MFK65289:MFK65291 LVO65289:LVO65291 LLS65289:LLS65291 LBW65289:LBW65291 KSA65289:KSA65291 KIE65289:KIE65291 JYI65289:JYI65291 JOM65289:JOM65291 JEQ65289:JEQ65291 IUU65289:IUU65291 IKY65289:IKY65291 IBC65289:IBC65291 HRG65289:HRG65291 HHK65289:HHK65291 GXO65289:GXO65291 GNS65289:GNS65291 GDW65289:GDW65291 FUA65289:FUA65291 FKE65289:FKE65291 FAI65289:FAI65291 EQM65289:EQM65291 EGQ65289:EGQ65291 DWU65289:DWU65291 DMY65289:DMY65291 DDC65289:DDC65291 CTG65289:CTG65291 CJK65289:CJK65291 BZO65289:BZO65291 BPS65289:BPS65291 BFW65289:BFW65291 AWA65289:AWA65291 AME65289:AME65291 ACI65289:ACI65291 SM65289:SM65291 IQ65289:IQ65291 WVC982788:WVC982789 WLG982788:WLG982789 WBK982788:WBK982789 VRO982788:VRO982789 VHS982788:VHS982789 UXW982788:UXW982789 UOA982788:UOA982789 UEE982788:UEE982789 TUI982788:TUI982789 TKM982788:TKM982789 TAQ982788:TAQ982789 SQU982788:SQU982789 SGY982788:SGY982789 RXC982788:RXC982789 RNG982788:RNG982789 RDK982788:RDK982789 QTO982788:QTO982789 QJS982788:QJS982789 PZW982788:PZW982789 PQA982788:PQA982789 PGE982788:PGE982789 OWI982788:OWI982789 OMM982788:OMM982789 OCQ982788:OCQ982789 NSU982788:NSU982789 NIY982788:NIY982789 MZC982788:MZC982789 MPG982788:MPG982789 MFK982788:MFK982789 LVO982788:LVO982789 LLS982788:LLS982789 LBW982788:LBW982789 KSA982788:KSA982789 KIE982788:KIE982789 JYI982788:JYI982789 JOM982788:JOM982789 JEQ982788:JEQ982789 IUU982788:IUU982789 IKY982788:IKY982789 IBC982788:IBC982789 HRG982788:HRG982789 HHK982788:HHK982789 GXO982788:GXO982789 GNS982788:GNS982789 GDW982788:GDW982789 FUA982788:FUA982789 FKE982788:FKE982789 FAI982788:FAI982789 EQM982788:EQM982789 EGQ982788:EGQ982789 DWU982788:DWU982789 DMY982788:DMY982789 DDC982788:DDC982789 CTG982788:CTG982789 CJK982788:CJK982789 BZO982788:BZO982789 BPS982788:BPS982789 BFW982788:BFW982789 AWA982788:AWA982789 AME982788:AME982789 ACI982788:ACI982789 SM982788:SM982789 IQ982788:IQ982789 WVC917252:WVC917253 WLG917252:WLG917253 WBK917252:WBK917253 VRO917252:VRO917253 VHS917252:VHS917253 UXW917252:UXW917253 UOA917252:UOA917253 UEE917252:UEE917253 TUI917252:TUI917253 TKM917252:TKM917253 TAQ917252:TAQ917253 SQU917252:SQU917253 SGY917252:SGY917253 RXC917252:RXC917253 RNG917252:RNG917253 RDK917252:RDK917253 QTO917252:QTO917253 QJS917252:QJS917253 PZW917252:PZW917253 PQA917252:PQA917253 PGE917252:PGE917253 OWI917252:OWI917253 OMM917252:OMM917253 OCQ917252:OCQ917253 NSU917252:NSU917253 NIY917252:NIY917253 MZC917252:MZC917253 MPG917252:MPG917253 MFK917252:MFK917253 LVO917252:LVO917253 LLS917252:LLS917253 LBW917252:LBW917253 KSA917252:KSA917253 KIE917252:KIE917253 JYI917252:JYI917253 JOM917252:JOM917253 JEQ917252:JEQ917253 IUU917252:IUU917253 IKY917252:IKY917253 IBC917252:IBC917253 HRG917252:HRG917253 HHK917252:HHK917253 GXO917252:GXO917253 GNS917252:GNS917253 GDW917252:GDW917253 FUA917252:FUA917253 FKE917252:FKE917253 FAI917252:FAI917253 EQM917252:EQM917253 EGQ917252:EGQ917253 DWU917252:DWU917253 DMY917252:DMY917253 DDC917252:DDC917253 CTG917252:CTG917253 CJK917252:CJK917253 BZO917252:BZO917253 BPS917252:BPS917253 BFW917252:BFW917253 AWA917252:AWA917253 AME917252:AME917253 ACI917252:ACI917253 SM917252:SM917253 IQ917252:IQ917253 WVC851716:WVC851717 WLG851716:WLG851717 WBK851716:WBK851717 VRO851716:VRO851717 VHS851716:VHS851717 UXW851716:UXW851717 UOA851716:UOA851717 UEE851716:UEE851717 TUI851716:TUI851717 TKM851716:TKM851717 TAQ851716:TAQ851717 SQU851716:SQU851717 SGY851716:SGY851717 RXC851716:RXC851717 RNG851716:RNG851717 RDK851716:RDK851717 QTO851716:QTO851717 QJS851716:QJS851717 PZW851716:PZW851717 PQA851716:PQA851717 PGE851716:PGE851717 OWI851716:OWI851717 OMM851716:OMM851717 OCQ851716:OCQ851717 NSU851716:NSU851717 NIY851716:NIY851717 MZC851716:MZC851717 MPG851716:MPG851717 MFK851716:MFK851717 LVO851716:LVO851717 LLS851716:LLS851717 LBW851716:LBW851717 KSA851716:KSA851717 KIE851716:KIE851717 JYI851716:JYI851717 JOM851716:JOM851717 JEQ851716:JEQ851717 IUU851716:IUU851717 IKY851716:IKY851717 IBC851716:IBC851717 HRG851716:HRG851717 HHK851716:HHK851717 GXO851716:GXO851717 GNS851716:GNS851717 GDW851716:GDW851717 FUA851716:FUA851717 FKE851716:FKE851717 FAI851716:FAI851717 EQM851716:EQM851717 EGQ851716:EGQ851717 DWU851716:DWU851717 DMY851716:DMY851717 DDC851716:DDC851717 CTG851716:CTG851717 CJK851716:CJK851717 BZO851716:BZO851717 BPS851716:BPS851717 BFW851716:BFW851717 AWA851716:AWA851717 AME851716:AME851717 ACI851716:ACI851717 SM851716:SM851717 IQ851716:IQ851717 WVC786180:WVC786181 WLG786180:WLG786181 WBK786180:WBK786181 VRO786180:VRO786181 VHS786180:VHS786181 UXW786180:UXW786181 UOA786180:UOA786181 UEE786180:UEE786181 TUI786180:TUI786181 TKM786180:TKM786181 TAQ786180:TAQ786181 SQU786180:SQU786181 SGY786180:SGY786181 RXC786180:RXC786181 RNG786180:RNG786181 RDK786180:RDK786181 QTO786180:QTO786181 QJS786180:QJS786181 PZW786180:PZW786181 PQA786180:PQA786181 PGE786180:PGE786181 OWI786180:OWI786181 OMM786180:OMM786181 OCQ786180:OCQ786181 NSU786180:NSU786181 NIY786180:NIY786181 MZC786180:MZC786181 MPG786180:MPG786181 MFK786180:MFK786181 LVO786180:LVO786181 LLS786180:LLS786181 LBW786180:LBW786181 KSA786180:KSA786181 KIE786180:KIE786181 JYI786180:JYI786181 JOM786180:JOM786181 JEQ786180:JEQ786181 IUU786180:IUU786181 IKY786180:IKY786181 IBC786180:IBC786181 HRG786180:HRG786181 HHK786180:HHK786181 GXO786180:GXO786181 GNS786180:GNS786181 GDW786180:GDW786181 FUA786180:FUA786181 FKE786180:FKE786181 FAI786180:FAI786181 EQM786180:EQM786181 EGQ786180:EGQ786181 DWU786180:DWU786181 DMY786180:DMY786181 DDC786180:DDC786181 CTG786180:CTG786181 CJK786180:CJK786181 BZO786180:BZO786181 BPS786180:BPS786181 BFW786180:BFW786181 AWA786180:AWA786181 AME786180:AME786181 ACI786180:ACI786181 SM786180:SM786181 IQ786180:IQ786181 WVC720644:WVC720645 WLG720644:WLG720645 WBK720644:WBK720645 VRO720644:VRO720645 VHS720644:VHS720645 UXW720644:UXW720645 UOA720644:UOA720645 UEE720644:UEE720645 TUI720644:TUI720645 TKM720644:TKM720645 TAQ720644:TAQ720645 SQU720644:SQU720645 SGY720644:SGY720645 RXC720644:RXC720645 RNG720644:RNG720645 RDK720644:RDK720645 QTO720644:QTO720645 QJS720644:QJS720645 PZW720644:PZW720645 PQA720644:PQA720645 PGE720644:PGE720645 OWI720644:OWI720645 OMM720644:OMM720645 OCQ720644:OCQ720645 NSU720644:NSU720645 NIY720644:NIY720645 MZC720644:MZC720645 MPG720644:MPG720645 MFK720644:MFK720645 LVO720644:LVO720645 LLS720644:LLS720645 LBW720644:LBW720645 KSA720644:KSA720645 KIE720644:KIE720645 JYI720644:JYI720645 JOM720644:JOM720645 JEQ720644:JEQ720645 IUU720644:IUU720645 IKY720644:IKY720645 IBC720644:IBC720645 HRG720644:HRG720645 HHK720644:HHK720645 GXO720644:GXO720645 GNS720644:GNS720645 GDW720644:GDW720645 FUA720644:FUA720645 FKE720644:FKE720645 FAI720644:FAI720645 EQM720644:EQM720645 EGQ720644:EGQ720645 DWU720644:DWU720645 DMY720644:DMY720645 DDC720644:DDC720645 CTG720644:CTG720645 CJK720644:CJK720645 BZO720644:BZO720645 BPS720644:BPS720645 BFW720644:BFW720645 AWA720644:AWA720645 AME720644:AME720645 ACI720644:ACI720645 SM720644:SM720645 IQ720644:IQ720645 WVC655108:WVC655109 WLG655108:WLG655109 WBK655108:WBK655109 VRO655108:VRO655109 VHS655108:VHS655109 UXW655108:UXW655109 UOA655108:UOA655109 UEE655108:UEE655109 TUI655108:TUI655109 TKM655108:TKM655109 TAQ655108:TAQ655109 SQU655108:SQU655109 SGY655108:SGY655109 RXC655108:RXC655109 RNG655108:RNG655109 RDK655108:RDK655109 QTO655108:QTO655109 QJS655108:QJS655109 PZW655108:PZW655109 PQA655108:PQA655109 PGE655108:PGE655109 OWI655108:OWI655109 OMM655108:OMM655109 OCQ655108:OCQ655109 NSU655108:NSU655109 NIY655108:NIY655109 MZC655108:MZC655109 MPG655108:MPG655109 MFK655108:MFK655109 LVO655108:LVO655109 LLS655108:LLS655109 LBW655108:LBW655109 KSA655108:KSA655109 KIE655108:KIE655109 JYI655108:JYI655109 JOM655108:JOM655109 JEQ655108:JEQ655109 IUU655108:IUU655109 IKY655108:IKY655109 IBC655108:IBC655109 HRG655108:HRG655109 HHK655108:HHK655109 GXO655108:GXO655109 GNS655108:GNS655109 GDW655108:GDW655109 FUA655108:FUA655109 FKE655108:FKE655109 FAI655108:FAI655109 EQM655108:EQM655109 EGQ655108:EGQ655109 DWU655108:DWU655109 DMY655108:DMY655109 DDC655108:DDC655109 CTG655108:CTG655109 CJK655108:CJK655109 BZO655108:BZO655109 BPS655108:BPS655109 BFW655108:BFW655109 AWA655108:AWA655109 AME655108:AME655109 ACI655108:ACI655109 SM655108:SM655109 IQ655108:IQ655109 WVC589572:WVC589573 WLG589572:WLG589573 WBK589572:WBK589573 VRO589572:VRO589573 VHS589572:VHS589573 UXW589572:UXW589573 UOA589572:UOA589573 UEE589572:UEE589573 TUI589572:TUI589573 TKM589572:TKM589573 TAQ589572:TAQ589573 SQU589572:SQU589573 SGY589572:SGY589573 RXC589572:RXC589573 RNG589572:RNG589573 RDK589572:RDK589573 QTO589572:QTO589573 QJS589572:QJS589573 PZW589572:PZW589573 PQA589572:PQA589573 PGE589572:PGE589573 OWI589572:OWI589573 OMM589572:OMM589573 OCQ589572:OCQ589573 NSU589572:NSU589573 NIY589572:NIY589573 MZC589572:MZC589573 MPG589572:MPG589573 MFK589572:MFK589573 LVO589572:LVO589573 LLS589572:LLS589573 LBW589572:LBW589573 KSA589572:KSA589573 KIE589572:KIE589573 JYI589572:JYI589573 JOM589572:JOM589573 JEQ589572:JEQ589573 IUU589572:IUU589573 IKY589572:IKY589573 IBC589572:IBC589573 HRG589572:HRG589573 HHK589572:HHK589573 GXO589572:GXO589573 GNS589572:GNS589573 GDW589572:GDW589573 FUA589572:FUA589573 FKE589572:FKE589573 FAI589572:FAI589573 EQM589572:EQM589573 EGQ589572:EGQ589573 DWU589572:DWU589573 DMY589572:DMY589573 DDC589572:DDC589573 CTG589572:CTG589573 CJK589572:CJK589573 BZO589572:BZO589573 BPS589572:BPS589573 BFW589572:BFW589573 AWA589572:AWA589573 AME589572:AME589573 ACI589572:ACI589573 SM589572:SM589573 IQ589572:IQ589573 WVC524036:WVC524037 WLG524036:WLG524037 WBK524036:WBK524037 VRO524036:VRO524037 VHS524036:VHS524037 UXW524036:UXW524037 UOA524036:UOA524037 UEE524036:UEE524037 TUI524036:TUI524037 TKM524036:TKM524037 TAQ524036:TAQ524037 SQU524036:SQU524037 SGY524036:SGY524037 RXC524036:RXC524037 RNG524036:RNG524037 RDK524036:RDK524037 QTO524036:QTO524037 QJS524036:QJS524037 PZW524036:PZW524037 PQA524036:PQA524037 PGE524036:PGE524037 OWI524036:OWI524037 OMM524036:OMM524037 OCQ524036:OCQ524037 NSU524036:NSU524037 NIY524036:NIY524037 MZC524036:MZC524037 MPG524036:MPG524037 MFK524036:MFK524037 LVO524036:LVO524037 LLS524036:LLS524037 LBW524036:LBW524037 KSA524036:KSA524037 KIE524036:KIE524037 JYI524036:JYI524037 JOM524036:JOM524037 JEQ524036:JEQ524037 IUU524036:IUU524037 IKY524036:IKY524037 IBC524036:IBC524037 HRG524036:HRG524037 HHK524036:HHK524037 GXO524036:GXO524037 GNS524036:GNS524037 GDW524036:GDW524037 FUA524036:FUA524037 FKE524036:FKE524037 FAI524036:FAI524037 EQM524036:EQM524037 EGQ524036:EGQ524037 DWU524036:DWU524037 DMY524036:DMY524037 DDC524036:DDC524037 CTG524036:CTG524037 CJK524036:CJK524037 BZO524036:BZO524037 BPS524036:BPS524037 BFW524036:BFW524037 AWA524036:AWA524037 AME524036:AME524037 ACI524036:ACI524037 SM524036:SM524037 IQ524036:IQ524037 WVC458500:WVC458501 WLG458500:WLG458501 WBK458500:WBK458501 VRO458500:VRO458501 VHS458500:VHS458501 UXW458500:UXW458501 UOA458500:UOA458501 UEE458500:UEE458501 TUI458500:TUI458501 TKM458500:TKM458501 TAQ458500:TAQ458501 SQU458500:SQU458501 SGY458500:SGY458501 RXC458500:RXC458501 RNG458500:RNG458501 RDK458500:RDK458501 QTO458500:QTO458501 QJS458500:QJS458501 PZW458500:PZW458501 PQA458500:PQA458501 PGE458500:PGE458501 OWI458500:OWI458501 OMM458500:OMM458501 OCQ458500:OCQ458501 NSU458500:NSU458501 NIY458500:NIY458501 MZC458500:MZC458501 MPG458500:MPG458501 MFK458500:MFK458501 LVO458500:LVO458501 LLS458500:LLS458501 LBW458500:LBW458501 KSA458500:KSA458501 KIE458500:KIE458501 JYI458500:JYI458501 JOM458500:JOM458501 JEQ458500:JEQ458501 IUU458500:IUU458501 IKY458500:IKY458501 IBC458500:IBC458501 HRG458500:HRG458501 HHK458500:HHK458501 GXO458500:GXO458501 GNS458500:GNS458501 GDW458500:GDW458501 FUA458500:FUA458501 FKE458500:FKE458501 FAI458500:FAI458501 EQM458500:EQM458501 EGQ458500:EGQ458501 DWU458500:DWU458501 DMY458500:DMY458501 DDC458500:DDC458501 CTG458500:CTG458501 CJK458500:CJK458501 BZO458500:BZO458501 BPS458500:BPS458501 BFW458500:BFW458501 AWA458500:AWA458501 AME458500:AME458501 ACI458500:ACI458501 SM458500:SM458501 IQ458500:IQ458501 WVC392964:WVC392965 WLG392964:WLG392965 WBK392964:WBK392965 VRO392964:VRO392965 VHS392964:VHS392965 UXW392964:UXW392965 UOA392964:UOA392965 UEE392964:UEE392965 TUI392964:TUI392965 TKM392964:TKM392965 TAQ392964:TAQ392965 SQU392964:SQU392965 SGY392964:SGY392965 RXC392964:RXC392965 RNG392964:RNG392965 RDK392964:RDK392965 QTO392964:QTO392965 QJS392964:QJS392965 PZW392964:PZW392965 PQA392964:PQA392965 PGE392964:PGE392965 OWI392964:OWI392965 OMM392964:OMM392965 OCQ392964:OCQ392965 NSU392964:NSU392965 NIY392964:NIY392965 MZC392964:MZC392965 MPG392964:MPG392965 MFK392964:MFK392965 LVO392964:LVO392965 LLS392964:LLS392965 LBW392964:LBW392965 KSA392964:KSA392965 KIE392964:KIE392965 JYI392964:JYI392965 JOM392964:JOM392965 JEQ392964:JEQ392965 IUU392964:IUU392965 IKY392964:IKY392965 IBC392964:IBC392965 HRG392964:HRG392965 HHK392964:HHK392965 GXO392964:GXO392965 GNS392964:GNS392965 GDW392964:GDW392965 FUA392964:FUA392965 FKE392964:FKE392965 FAI392964:FAI392965 EQM392964:EQM392965 EGQ392964:EGQ392965 DWU392964:DWU392965 DMY392964:DMY392965 DDC392964:DDC392965 CTG392964:CTG392965 CJK392964:CJK392965 BZO392964:BZO392965 BPS392964:BPS392965 BFW392964:BFW392965 AWA392964:AWA392965 AME392964:AME392965 ACI392964:ACI392965 SM392964:SM392965 IQ392964:IQ392965 WVC327428:WVC327429 WLG327428:WLG327429 WBK327428:WBK327429 VRO327428:VRO327429 VHS327428:VHS327429 UXW327428:UXW327429 UOA327428:UOA327429 UEE327428:UEE327429 TUI327428:TUI327429 TKM327428:TKM327429 TAQ327428:TAQ327429 SQU327428:SQU327429 SGY327428:SGY327429 RXC327428:RXC327429 RNG327428:RNG327429 RDK327428:RDK327429 QTO327428:QTO327429 QJS327428:QJS327429 PZW327428:PZW327429 PQA327428:PQA327429 PGE327428:PGE327429 OWI327428:OWI327429 OMM327428:OMM327429 OCQ327428:OCQ327429 NSU327428:NSU327429 NIY327428:NIY327429 MZC327428:MZC327429 MPG327428:MPG327429 MFK327428:MFK327429 LVO327428:LVO327429 LLS327428:LLS327429 LBW327428:LBW327429 KSA327428:KSA327429 KIE327428:KIE327429 JYI327428:JYI327429 JOM327428:JOM327429 JEQ327428:JEQ327429 IUU327428:IUU327429 IKY327428:IKY327429 IBC327428:IBC327429 HRG327428:HRG327429 HHK327428:HHK327429 GXO327428:GXO327429 GNS327428:GNS327429 GDW327428:GDW327429 FUA327428:FUA327429 FKE327428:FKE327429 FAI327428:FAI327429 EQM327428:EQM327429 EGQ327428:EGQ327429 DWU327428:DWU327429 DMY327428:DMY327429 DDC327428:DDC327429 CTG327428:CTG327429 CJK327428:CJK327429 BZO327428:BZO327429 BPS327428:BPS327429 BFW327428:BFW327429 AWA327428:AWA327429 AME327428:AME327429 ACI327428:ACI327429 SM327428:SM327429 IQ327428:IQ327429 WVC261892:WVC261893 WLG261892:WLG261893 WBK261892:WBK261893 VRO261892:VRO261893 VHS261892:VHS261893 UXW261892:UXW261893 UOA261892:UOA261893 UEE261892:UEE261893 TUI261892:TUI261893 TKM261892:TKM261893 TAQ261892:TAQ261893 SQU261892:SQU261893 SGY261892:SGY261893 RXC261892:RXC261893 RNG261892:RNG261893 RDK261892:RDK261893 QTO261892:QTO261893 QJS261892:QJS261893 PZW261892:PZW261893 PQA261892:PQA261893 PGE261892:PGE261893 OWI261892:OWI261893 OMM261892:OMM261893 OCQ261892:OCQ261893 NSU261892:NSU261893 NIY261892:NIY261893 MZC261892:MZC261893 MPG261892:MPG261893 MFK261892:MFK261893 LVO261892:LVO261893 LLS261892:LLS261893 LBW261892:LBW261893 KSA261892:KSA261893 KIE261892:KIE261893 JYI261892:JYI261893 JOM261892:JOM261893 JEQ261892:JEQ261893 IUU261892:IUU261893 IKY261892:IKY261893 IBC261892:IBC261893 HRG261892:HRG261893 HHK261892:HHK261893 GXO261892:GXO261893 GNS261892:GNS261893 GDW261892:GDW261893 FUA261892:FUA261893 FKE261892:FKE261893 FAI261892:FAI261893 EQM261892:EQM261893 EGQ261892:EGQ261893 DWU261892:DWU261893 DMY261892:DMY261893 DDC261892:DDC261893 CTG261892:CTG261893 CJK261892:CJK261893 BZO261892:BZO261893 BPS261892:BPS261893 BFW261892:BFW261893 AWA261892:AWA261893 AME261892:AME261893 ACI261892:ACI261893 SM261892:SM261893 IQ261892:IQ261893 WVC196356:WVC196357 WLG196356:WLG196357 WBK196356:WBK196357 VRO196356:VRO196357 VHS196356:VHS196357 UXW196356:UXW196357 UOA196356:UOA196357 UEE196356:UEE196357 TUI196356:TUI196357 TKM196356:TKM196357 TAQ196356:TAQ196357 SQU196356:SQU196357 SGY196356:SGY196357 RXC196356:RXC196357 RNG196356:RNG196357 RDK196356:RDK196357 QTO196356:QTO196357 QJS196356:QJS196357 PZW196356:PZW196357 PQA196356:PQA196357 PGE196356:PGE196357 OWI196356:OWI196357 OMM196356:OMM196357 OCQ196356:OCQ196357 NSU196356:NSU196357 NIY196356:NIY196357 MZC196356:MZC196357 MPG196356:MPG196357 MFK196356:MFK196357 LVO196356:LVO196357 LLS196356:LLS196357 LBW196356:LBW196357 KSA196356:KSA196357 KIE196356:KIE196357 JYI196356:JYI196357 JOM196356:JOM196357 JEQ196356:JEQ196357 IUU196356:IUU196357 IKY196356:IKY196357 IBC196356:IBC196357 HRG196356:HRG196357 HHK196356:HHK196357 GXO196356:GXO196357 GNS196356:GNS196357 GDW196356:GDW196357 FUA196356:FUA196357 FKE196356:FKE196357 FAI196356:FAI196357 EQM196356:EQM196357 EGQ196356:EGQ196357 DWU196356:DWU196357 DMY196356:DMY196357 DDC196356:DDC196357 CTG196356:CTG196357 CJK196356:CJK196357 BZO196356:BZO196357 BPS196356:BPS196357 BFW196356:BFW196357 AWA196356:AWA196357 AME196356:AME196357 ACI196356:ACI196357 SM196356:SM196357 IQ196356:IQ196357 WVC130820:WVC130821 WLG130820:WLG130821 WBK130820:WBK130821 VRO130820:VRO130821 VHS130820:VHS130821 UXW130820:UXW130821 UOA130820:UOA130821 UEE130820:UEE130821 TUI130820:TUI130821 TKM130820:TKM130821 TAQ130820:TAQ130821 SQU130820:SQU130821 SGY130820:SGY130821 RXC130820:RXC130821 RNG130820:RNG130821 RDK130820:RDK130821 QTO130820:QTO130821 QJS130820:QJS130821 PZW130820:PZW130821 PQA130820:PQA130821 PGE130820:PGE130821 OWI130820:OWI130821 OMM130820:OMM130821 OCQ130820:OCQ130821 NSU130820:NSU130821 NIY130820:NIY130821 MZC130820:MZC130821 MPG130820:MPG130821 MFK130820:MFK130821 LVO130820:LVO130821 LLS130820:LLS130821 LBW130820:LBW130821 KSA130820:KSA130821 KIE130820:KIE130821 JYI130820:JYI130821 JOM130820:JOM130821 JEQ130820:JEQ130821 IUU130820:IUU130821 IKY130820:IKY130821 IBC130820:IBC130821 HRG130820:HRG130821 HHK130820:HHK130821 GXO130820:GXO130821 GNS130820:GNS130821 GDW130820:GDW130821 FUA130820:FUA130821 FKE130820:FKE130821 FAI130820:FAI130821 EQM130820:EQM130821 EGQ130820:EGQ130821 DWU130820:DWU130821 DMY130820:DMY130821 DDC130820:DDC130821 CTG130820:CTG130821 CJK130820:CJK130821 BZO130820:BZO130821 BPS130820:BPS130821 BFW130820:BFW130821 AWA130820:AWA130821 AME130820:AME130821 ACI130820:ACI130821 SM130820:SM130821 IQ130820:IQ130821 WVC65284:WVC65285 WLG65284:WLG65285 WBK65284:WBK65285 VRO65284:VRO65285 VHS65284:VHS65285 UXW65284:UXW65285 UOA65284:UOA65285 UEE65284:UEE65285 TUI65284:TUI65285 TKM65284:TKM65285 TAQ65284:TAQ65285 SQU65284:SQU65285 SGY65284:SGY65285 RXC65284:RXC65285 RNG65284:RNG65285 RDK65284:RDK65285 QTO65284:QTO65285 QJS65284:QJS65285 PZW65284:PZW65285 PQA65284:PQA65285 PGE65284:PGE65285 OWI65284:OWI65285 OMM65284:OMM65285 OCQ65284:OCQ65285 NSU65284:NSU65285 NIY65284:NIY65285 MZC65284:MZC65285 MPG65284:MPG65285 MFK65284:MFK65285 LVO65284:LVO65285 LLS65284:LLS65285 LBW65284:LBW65285 KSA65284:KSA65285 KIE65284:KIE65285 JYI65284:JYI65285 JOM65284:JOM65285 JEQ65284:JEQ65285 IUU65284:IUU65285 IKY65284:IKY65285 IBC65284:IBC65285 HRG65284:HRG65285 HHK65284:HHK65285 GXO65284:GXO65285 GNS65284:GNS65285 GDW65284:GDW65285 FUA65284:FUA65285 FKE65284:FKE65285 FAI65284:FAI65285 EQM65284:EQM65285 EGQ65284:EGQ65285 DWU65284:DWU65285 DMY65284:DMY65285 DDC65284:DDC65285 CTG65284:CTG65285 CJK65284:CJK65285 BZO65284:BZO65285 BPS65284:BPS65285 BFW65284:BFW65285 AWA65284:AWA65285 AME65284:AME65285 ACI65284:ACI65285 SM65284:SM65285 IQ65284:IQ65285 WVC982806:WVC982807 WLG982806:WLG982807 WBK982806:WBK982807 VRO982806:VRO982807 VHS982806:VHS982807 UXW982806:UXW982807 UOA982806:UOA982807 UEE982806:UEE982807 TUI982806:TUI982807 TKM982806:TKM982807 TAQ982806:TAQ982807 SQU982806:SQU982807 SGY982806:SGY982807 RXC982806:RXC982807 RNG982806:RNG982807 RDK982806:RDK982807 QTO982806:QTO982807 QJS982806:QJS982807 PZW982806:PZW982807 PQA982806:PQA982807 PGE982806:PGE982807 OWI982806:OWI982807 OMM982806:OMM982807 OCQ982806:OCQ982807 NSU982806:NSU982807 NIY982806:NIY982807 MZC982806:MZC982807 MPG982806:MPG982807 MFK982806:MFK982807 LVO982806:LVO982807 LLS982806:LLS982807 LBW982806:LBW982807 KSA982806:KSA982807 KIE982806:KIE982807 JYI982806:JYI982807 JOM982806:JOM982807 JEQ982806:JEQ982807 IUU982806:IUU982807 IKY982806:IKY982807 IBC982806:IBC982807 HRG982806:HRG982807 HHK982806:HHK982807 GXO982806:GXO982807 GNS982806:GNS982807 GDW982806:GDW982807 FUA982806:FUA982807 FKE982806:FKE982807 FAI982806:FAI982807 EQM982806:EQM982807 EGQ982806:EGQ982807 DWU982806:DWU982807 DMY982806:DMY982807 DDC982806:DDC982807 CTG982806:CTG982807 CJK982806:CJK982807 BZO982806:BZO982807 BPS982806:BPS982807 BFW982806:BFW982807 AWA982806:AWA982807 AME982806:AME982807 ACI982806:ACI982807 SM982806:SM982807 IQ982806:IQ982807 WVC917270:WVC917271 WLG917270:WLG917271 WBK917270:WBK917271 VRO917270:VRO917271 VHS917270:VHS917271 UXW917270:UXW917271 UOA917270:UOA917271 UEE917270:UEE917271 TUI917270:TUI917271 TKM917270:TKM917271 TAQ917270:TAQ917271 SQU917270:SQU917271 SGY917270:SGY917271 RXC917270:RXC917271 RNG917270:RNG917271 RDK917270:RDK917271 QTO917270:QTO917271 QJS917270:QJS917271 PZW917270:PZW917271 PQA917270:PQA917271 PGE917270:PGE917271 OWI917270:OWI917271 OMM917270:OMM917271 OCQ917270:OCQ917271 NSU917270:NSU917271 NIY917270:NIY917271 MZC917270:MZC917271 MPG917270:MPG917271 MFK917270:MFK917271 LVO917270:LVO917271 LLS917270:LLS917271 LBW917270:LBW917271 KSA917270:KSA917271 KIE917270:KIE917271 JYI917270:JYI917271 JOM917270:JOM917271 JEQ917270:JEQ917271 IUU917270:IUU917271 IKY917270:IKY917271 IBC917270:IBC917271 HRG917270:HRG917271 HHK917270:HHK917271 GXO917270:GXO917271 GNS917270:GNS917271 GDW917270:GDW917271 FUA917270:FUA917271 FKE917270:FKE917271 FAI917270:FAI917271 EQM917270:EQM917271 EGQ917270:EGQ917271 DWU917270:DWU917271 DMY917270:DMY917271 DDC917270:DDC917271 CTG917270:CTG917271 CJK917270:CJK917271 BZO917270:BZO917271 BPS917270:BPS917271 BFW917270:BFW917271 AWA917270:AWA917271 AME917270:AME917271 ACI917270:ACI917271 SM917270:SM917271 IQ917270:IQ917271 WVC851734:WVC851735 WLG851734:WLG851735 WBK851734:WBK851735 VRO851734:VRO851735 VHS851734:VHS851735 UXW851734:UXW851735 UOA851734:UOA851735 UEE851734:UEE851735 TUI851734:TUI851735 TKM851734:TKM851735 TAQ851734:TAQ851735 SQU851734:SQU851735 SGY851734:SGY851735 RXC851734:RXC851735 RNG851734:RNG851735 RDK851734:RDK851735 QTO851734:QTO851735 QJS851734:QJS851735 PZW851734:PZW851735 PQA851734:PQA851735 PGE851734:PGE851735 OWI851734:OWI851735 OMM851734:OMM851735 OCQ851734:OCQ851735 NSU851734:NSU851735 NIY851734:NIY851735 MZC851734:MZC851735 MPG851734:MPG851735 MFK851734:MFK851735 LVO851734:LVO851735 LLS851734:LLS851735 LBW851734:LBW851735 KSA851734:KSA851735 KIE851734:KIE851735 JYI851734:JYI851735 JOM851734:JOM851735 JEQ851734:JEQ851735 IUU851734:IUU851735 IKY851734:IKY851735 IBC851734:IBC851735 HRG851734:HRG851735 HHK851734:HHK851735 GXO851734:GXO851735 GNS851734:GNS851735 GDW851734:GDW851735 FUA851734:FUA851735 FKE851734:FKE851735 FAI851734:FAI851735 EQM851734:EQM851735 EGQ851734:EGQ851735 DWU851734:DWU851735 DMY851734:DMY851735 DDC851734:DDC851735 CTG851734:CTG851735 CJK851734:CJK851735 BZO851734:BZO851735 BPS851734:BPS851735 BFW851734:BFW851735 AWA851734:AWA851735 AME851734:AME851735 ACI851734:ACI851735 SM851734:SM851735 IQ851734:IQ851735 WVC786198:WVC786199 WLG786198:WLG786199 WBK786198:WBK786199 VRO786198:VRO786199 VHS786198:VHS786199 UXW786198:UXW786199 UOA786198:UOA786199 UEE786198:UEE786199 TUI786198:TUI786199 TKM786198:TKM786199 TAQ786198:TAQ786199 SQU786198:SQU786199 SGY786198:SGY786199 RXC786198:RXC786199 RNG786198:RNG786199 RDK786198:RDK786199 QTO786198:QTO786199 QJS786198:QJS786199 PZW786198:PZW786199 PQA786198:PQA786199 PGE786198:PGE786199 OWI786198:OWI786199 OMM786198:OMM786199 OCQ786198:OCQ786199 NSU786198:NSU786199 NIY786198:NIY786199 MZC786198:MZC786199 MPG786198:MPG786199 MFK786198:MFK786199 LVO786198:LVO786199 LLS786198:LLS786199 LBW786198:LBW786199 KSA786198:KSA786199 KIE786198:KIE786199 JYI786198:JYI786199 JOM786198:JOM786199 JEQ786198:JEQ786199 IUU786198:IUU786199 IKY786198:IKY786199 IBC786198:IBC786199 HRG786198:HRG786199 HHK786198:HHK786199 GXO786198:GXO786199 GNS786198:GNS786199 GDW786198:GDW786199 FUA786198:FUA786199 FKE786198:FKE786199 FAI786198:FAI786199 EQM786198:EQM786199 EGQ786198:EGQ786199 DWU786198:DWU786199 DMY786198:DMY786199 DDC786198:DDC786199 CTG786198:CTG786199 CJK786198:CJK786199 BZO786198:BZO786199 BPS786198:BPS786199 BFW786198:BFW786199 AWA786198:AWA786199 AME786198:AME786199 ACI786198:ACI786199 SM786198:SM786199 IQ786198:IQ786199 WVC720662:WVC720663 WLG720662:WLG720663 WBK720662:WBK720663 VRO720662:VRO720663 VHS720662:VHS720663 UXW720662:UXW720663 UOA720662:UOA720663 UEE720662:UEE720663 TUI720662:TUI720663 TKM720662:TKM720663 TAQ720662:TAQ720663 SQU720662:SQU720663 SGY720662:SGY720663 RXC720662:RXC720663 RNG720662:RNG720663 RDK720662:RDK720663 QTO720662:QTO720663 QJS720662:QJS720663 PZW720662:PZW720663 PQA720662:PQA720663 PGE720662:PGE720663 OWI720662:OWI720663 OMM720662:OMM720663 OCQ720662:OCQ720663 NSU720662:NSU720663 NIY720662:NIY720663 MZC720662:MZC720663 MPG720662:MPG720663 MFK720662:MFK720663 LVO720662:LVO720663 LLS720662:LLS720663 LBW720662:LBW720663 KSA720662:KSA720663 KIE720662:KIE720663 JYI720662:JYI720663 JOM720662:JOM720663 JEQ720662:JEQ720663 IUU720662:IUU720663 IKY720662:IKY720663 IBC720662:IBC720663 HRG720662:HRG720663 HHK720662:HHK720663 GXO720662:GXO720663 GNS720662:GNS720663 GDW720662:GDW720663 FUA720662:FUA720663 FKE720662:FKE720663 FAI720662:FAI720663 EQM720662:EQM720663 EGQ720662:EGQ720663 DWU720662:DWU720663 DMY720662:DMY720663 DDC720662:DDC720663 CTG720662:CTG720663 CJK720662:CJK720663 BZO720662:BZO720663 BPS720662:BPS720663 BFW720662:BFW720663 AWA720662:AWA720663 AME720662:AME720663 ACI720662:ACI720663 SM720662:SM720663 IQ720662:IQ720663 WVC655126:WVC655127 WLG655126:WLG655127 WBK655126:WBK655127 VRO655126:VRO655127 VHS655126:VHS655127 UXW655126:UXW655127 UOA655126:UOA655127 UEE655126:UEE655127 TUI655126:TUI655127 TKM655126:TKM655127 TAQ655126:TAQ655127 SQU655126:SQU655127 SGY655126:SGY655127 RXC655126:RXC655127 RNG655126:RNG655127 RDK655126:RDK655127 QTO655126:QTO655127 QJS655126:QJS655127 PZW655126:PZW655127 PQA655126:PQA655127 PGE655126:PGE655127 OWI655126:OWI655127 OMM655126:OMM655127 OCQ655126:OCQ655127 NSU655126:NSU655127 NIY655126:NIY655127 MZC655126:MZC655127 MPG655126:MPG655127 MFK655126:MFK655127 LVO655126:LVO655127 LLS655126:LLS655127 LBW655126:LBW655127 KSA655126:KSA655127 KIE655126:KIE655127 JYI655126:JYI655127 JOM655126:JOM655127 JEQ655126:JEQ655127 IUU655126:IUU655127 IKY655126:IKY655127 IBC655126:IBC655127 HRG655126:HRG655127 HHK655126:HHK655127 GXO655126:GXO655127 GNS655126:GNS655127 GDW655126:GDW655127 FUA655126:FUA655127 FKE655126:FKE655127 FAI655126:FAI655127 EQM655126:EQM655127 EGQ655126:EGQ655127 DWU655126:DWU655127 DMY655126:DMY655127 DDC655126:DDC655127 CTG655126:CTG655127 CJK655126:CJK655127 BZO655126:BZO655127 BPS655126:BPS655127 BFW655126:BFW655127 AWA655126:AWA655127 AME655126:AME655127 ACI655126:ACI655127 SM655126:SM655127 IQ655126:IQ655127 WVC589590:WVC589591 WLG589590:WLG589591 WBK589590:WBK589591 VRO589590:VRO589591 VHS589590:VHS589591 UXW589590:UXW589591 UOA589590:UOA589591 UEE589590:UEE589591 TUI589590:TUI589591 TKM589590:TKM589591 TAQ589590:TAQ589591 SQU589590:SQU589591 SGY589590:SGY589591 RXC589590:RXC589591 RNG589590:RNG589591 RDK589590:RDK589591 QTO589590:QTO589591 QJS589590:QJS589591 PZW589590:PZW589591 PQA589590:PQA589591 PGE589590:PGE589591 OWI589590:OWI589591 OMM589590:OMM589591 OCQ589590:OCQ589591 NSU589590:NSU589591 NIY589590:NIY589591 MZC589590:MZC589591 MPG589590:MPG589591 MFK589590:MFK589591 LVO589590:LVO589591 LLS589590:LLS589591 LBW589590:LBW589591 KSA589590:KSA589591 KIE589590:KIE589591 JYI589590:JYI589591 JOM589590:JOM589591 JEQ589590:JEQ589591 IUU589590:IUU589591 IKY589590:IKY589591 IBC589590:IBC589591 HRG589590:HRG589591 HHK589590:HHK589591 GXO589590:GXO589591 GNS589590:GNS589591 GDW589590:GDW589591 FUA589590:FUA589591 FKE589590:FKE589591 FAI589590:FAI589591 EQM589590:EQM589591 EGQ589590:EGQ589591 DWU589590:DWU589591 DMY589590:DMY589591 DDC589590:DDC589591 CTG589590:CTG589591 CJK589590:CJK589591 BZO589590:BZO589591 BPS589590:BPS589591 BFW589590:BFW589591 AWA589590:AWA589591 AME589590:AME589591 ACI589590:ACI589591 SM589590:SM589591 IQ589590:IQ589591 WVC524054:WVC524055 WLG524054:WLG524055 WBK524054:WBK524055 VRO524054:VRO524055 VHS524054:VHS524055 UXW524054:UXW524055 UOA524054:UOA524055 UEE524054:UEE524055 TUI524054:TUI524055 TKM524054:TKM524055 TAQ524054:TAQ524055 SQU524054:SQU524055 SGY524054:SGY524055 RXC524054:RXC524055 RNG524054:RNG524055 RDK524054:RDK524055 QTO524054:QTO524055 QJS524054:QJS524055 PZW524054:PZW524055 PQA524054:PQA524055 PGE524054:PGE524055 OWI524054:OWI524055 OMM524054:OMM524055 OCQ524054:OCQ524055 NSU524054:NSU524055 NIY524054:NIY524055 MZC524054:MZC524055 MPG524054:MPG524055 MFK524054:MFK524055 LVO524054:LVO524055 LLS524054:LLS524055 LBW524054:LBW524055 KSA524054:KSA524055 KIE524054:KIE524055 JYI524054:JYI524055 JOM524054:JOM524055 JEQ524054:JEQ524055 IUU524054:IUU524055 IKY524054:IKY524055 IBC524054:IBC524055 HRG524054:HRG524055 HHK524054:HHK524055 GXO524054:GXO524055 GNS524054:GNS524055 GDW524054:GDW524055 FUA524054:FUA524055 FKE524054:FKE524055 FAI524054:FAI524055 EQM524054:EQM524055 EGQ524054:EGQ524055 DWU524054:DWU524055 DMY524054:DMY524055 DDC524054:DDC524055 CTG524054:CTG524055 CJK524054:CJK524055 BZO524054:BZO524055 BPS524054:BPS524055 BFW524054:BFW524055 AWA524054:AWA524055 AME524054:AME524055 ACI524054:ACI524055 SM524054:SM524055 IQ524054:IQ524055 WVC458518:WVC458519 WLG458518:WLG458519 WBK458518:WBK458519 VRO458518:VRO458519 VHS458518:VHS458519 UXW458518:UXW458519 UOA458518:UOA458519 UEE458518:UEE458519 TUI458518:TUI458519 TKM458518:TKM458519 TAQ458518:TAQ458519 SQU458518:SQU458519 SGY458518:SGY458519 RXC458518:RXC458519 RNG458518:RNG458519 RDK458518:RDK458519 QTO458518:QTO458519 QJS458518:QJS458519 PZW458518:PZW458519 PQA458518:PQA458519 PGE458518:PGE458519 OWI458518:OWI458519 OMM458518:OMM458519 OCQ458518:OCQ458519 NSU458518:NSU458519 NIY458518:NIY458519 MZC458518:MZC458519 MPG458518:MPG458519 MFK458518:MFK458519 LVO458518:LVO458519 LLS458518:LLS458519 LBW458518:LBW458519 KSA458518:KSA458519 KIE458518:KIE458519 JYI458518:JYI458519 JOM458518:JOM458519 JEQ458518:JEQ458519 IUU458518:IUU458519 IKY458518:IKY458519 IBC458518:IBC458519 HRG458518:HRG458519 HHK458518:HHK458519 GXO458518:GXO458519 GNS458518:GNS458519 GDW458518:GDW458519 FUA458518:FUA458519 FKE458518:FKE458519 FAI458518:FAI458519 EQM458518:EQM458519 EGQ458518:EGQ458519 DWU458518:DWU458519 DMY458518:DMY458519 DDC458518:DDC458519 CTG458518:CTG458519 CJK458518:CJK458519 BZO458518:BZO458519 BPS458518:BPS458519 BFW458518:BFW458519 AWA458518:AWA458519 AME458518:AME458519 ACI458518:ACI458519 SM458518:SM458519 IQ458518:IQ458519 WVC392982:WVC392983 WLG392982:WLG392983 WBK392982:WBK392983 VRO392982:VRO392983 VHS392982:VHS392983 UXW392982:UXW392983 UOA392982:UOA392983 UEE392982:UEE392983 TUI392982:TUI392983 TKM392982:TKM392983 TAQ392982:TAQ392983 SQU392982:SQU392983 SGY392982:SGY392983 RXC392982:RXC392983 RNG392982:RNG392983 RDK392982:RDK392983 QTO392982:QTO392983 QJS392982:QJS392983 PZW392982:PZW392983 PQA392982:PQA392983 PGE392982:PGE392983 OWI392982:OWI392983 OMM392982:OMM392983 OCQ392982:OCQ392983 NSU392982:NSU392983 NIY392982:NIY392983 MZC392982:MZC392983 MPG392982:MPG392983 MFK392982:MFK392983 LVO392982:LVO392983 LLS392982:LLS392983 LBW392982:LBW392983 KSA392982:KSA392983 KIE392982:KIE392983 JYI392982:JYI392983 JOM392982:JOM392983 JEQ392982:JEQ392983 IUU392982:IUU392983 IKY392982:IKY392983 IBC392982:IBC392983 HRG392982:HRG392983 HHK392982:HHK392983 GXO392982:GXO392983 GNS392982:GNS392983 GDW392982:GDW392983 FUA392982:FUA392983 FKE392982:FKE392983 FAI392982:FAI392983 EQM392982:EQM392983 EGQ392982:EGQ392983 DWU392982:DWU392983 DMY392982:DMY392983 DDC392982:DDC392983 CTG392982:CTG392983 CJK392982:CJK392983 BZO392982:BZO392983 BPS392982:BPS392983 BFW392982:BFW392983 AWA392982:AWA392983 AME392982:AME392983 ACI392982:ACI392983 SM392982:SM392983 IQ392982:IQ392983 WVC327446:WVC327447 WLG327446:WLG327447 WBK327446:WBK327447 VRO327446:VRO327447 VHS327446:VHS327447 UXW327446:UXW327447 UOA327446:UOA327447 UEE327446:UEE327447 TUI327446:TUI327447 TKM327446:TKM327447 TAQ327446:TAQ327447 SQU327446:SQU327447 SGY327446:SGY327447 RXC327446:RXC327447 RNG327446:RNG327447 RDK327446:RDK327447 QTO327446:QTO327447 QJS327446:QJS327447 PZW327446:PZW327447 PQA327446:PQA327447 PGE327446:PGE327447 OWI327446:OWI327447 OMM327446:OMM327447 OCQ327446:OCQ327447 NSU327446:NSU327447 NIY327446:NIY327447 MZC327446:MZC327447 MPG327446:MPG327447 MFK327446:MFK327447 LVO327446:LVO327447 LLS327446:LLS327447 LBW327446:LBW327447 KSA327446:KSA327447 KIE327446:KIE327447 JYI327446:JYI327447 JOM327446:JOM327447 JEQ327446:JEQ327447 IUU327446:IUU327447 IKY327446:IKY327447 IBC327446:IBC327447 HRG327446:HRG327447 HHK327446:HHK327447 GXO327446:GXO327447 GNS327446:GNS327447 GDW327446:GDW327447 FUA327446:FUA327447 FKE327446:FKE327447 FAI327446:FAI327447 EQM327446:EQM327447 EGQ327446:EGQ327447 DWU327446:DWU327447 DMY327446:DMY327447 DDC327446:DDC327447 CTG327446:CTG327447 CJK327446:CJK327447 BZO327446:BZO327447 BPS327446:BPS327447 BFW327446:BFW327447 AWA327446:AWA327447 AME327446:AME327447 ACI327446:ACI327447 SM327446:SM327447 IQ327446:IQ327447 WVC261910:WVC261911 WLG261910:WLG261911 WBK261910:WBK261911 VRO261910:VRO261911 VHS261910:VHS261911 UXW261910:UXW261911 UOA261910:UOA261911 UEE261910:UEE261911 TUI261910:TUI261911 TKM261910:TKM261911 TAQ261910:TAQ261911 SQU261910:SQU261911 SGY261910:SGY261911 RXC261910:RXC261911 RNG261910:RNG261911 RDK261910:RDK261911 QTO261910:QTO261911 QJS261910:QJS261911 PZW261910:PZW261911 PQA261910:PQA261911 PGE261910:PGE261911 OWI261910:OWI261911 OMM261910:OMM261911 OCQ261910:OCQ261911 NSU261910:NSU261911 NIY261910:NIY261911 MZC261910:MZC261911 MPG261910:MPG261911 MFK261910:MFK261911 LVO261910:LVO261911 LLS261910:LLS261911 LBW261910:LBW261911 KSA261910:KSA261911 KIE261910:KIE261911 JYI261910:JYI261911 JOM261910:JOM261911 JEQ261910:JEQ261911 IUU261910:IUU261911 IKY261910:IKY261911 IBC261910:IBC261911 HRG261910:HRG261911 HHK261910:HHK261911 GXO261910:GXO261911 GNS261910:GNS261911 GDW261910:GDW261911 FUA261910:FUA261911 FKE261910:FKE261911 FAI261910:FAI261911 EQM261910:EQM261911 EGQ261910:EGQ261911 DWU261910:DWU261911 DMY261910:DMY261911 DDC261910:DDC261911 CTG261910:CTG261911 CJK261910:CJK261911 BZO261910:BZO261911 BPS261910:BPS261911 BFW261910:BFW261911 AWA261910:AWA261911 AME261910:AME261911 ACI261910:ACI261911 SM261910:SM261911 IQ261910:IQ261911 WVC196374:WVC196375 WLG196374:WLG196375 WBK196374:WBK196375 VRO196374:VRO196375 VHS196374:VHS196375 UXW196374:UXW196375 UOA196374:UOA196375 UEE196374:UEE196375 TUI196374:TUI196375 TKM196374:TKM196375 TAQ196374:TAQ196375 SQU196374:SQU196375 SGY196374:SGY196375 RXC196374:RXC196375 RNG196374:RNG196375 RDK196374:RDK196375 QTO196374:QTO196375 QJS196374:QJS196375 PZW196374:PZW196375 PQA196374:PQA196375 PGE196374:PGE196375 OWI196374:OWI196375 OMM196374:OMM196375 OCQ196374:OCQ196375 NSU196374:NSU196375 NIY196374:NIY196375 MZC196374:MZC196375 MPG196374:MPG196375 MFK196374:MFK196375 LVO196374:LVO196375 LLS196374:LLS196375 LBW196374:LBW196375 KSA196374:KSA196375 KIE196374:KIE196375 JYI196374:JYI196375 JOM196374:JOM196375 JEQ196374:JEQ196375 IUU196374:IUU196375 IKY196374:IKY196375 IBC196374:IBC196375 HRG196374:HRG196375 HHK196374:HHK196375 GXO196374:GXO196375 GNS196374:GNS196375 GDW196374:GDW196375 FUA196374:FUA196375 FKE196374:FKE196375 FAI196374:FAI196375 EQM196374:EQM196375 EGQ196374:EGQ196375 DWU196374:DWU196375 DMY196374:DMY196375 DDC196374:DDC196375 CTG196374:CTG196375 CJK196374:CJK196375 BZO196374:BZO196375 BPS196374:BPS196375 BFW196374:BFW196375 AWA196374:AWA196375 AME196374:AME196375 ACI196374:ACI196375 SM196374:SM196375 IQ196374:IQ196375 WVC130838:WVC130839 WLG130838:WLG130839 WBK130838:WBK130839 VRO130838:VRO130839 VHS130838:VHS130839 UXW130838:UXW130839 UOA130838:UOA130839 UEE130838:UEE130839 TUI130838:TUI130839 TKM130838:TKM130839 TAQ130838:TAQ130839 SQU130838:SQU130839 SGY130838:SGY130839 RXC130838:RXC130839 RNG130838:RNG130839 RDK130838:RDK130839 QTO130838:QTO130839 QJS130838:QJS130839 PZW130838:PZW130839 PQA130838:PQA130839 PGE130838:PGE130839 OWI130838:OWI130839 OMM130838:OMM130839 OCQ130838:OCQ130839 NSU130838:NSU130839 NIY130838:NIY130839 MZC130838:MZC130839 MPG130838:MPG130839 MFK130838:MFK130839 LVO130838:LVO130839 LLS130838:LLS130839 LBW130838:LBW130839 KSA130838:KSA130839 KIE130838:KIE130839 JYI130838:JYI130839 JOM130838:JOM130839 JEQ130838:JEQ130839 IUU130838:IUU130839 IKY130838:IKY130839 IBC130838:IBC130839 HRG130838:HRG130839 HHK130838:HHK130839 GXO130838:GXO130839 GNS130838:GNS130839 GDW130838:GDW130839 FUA130838:FUA130839 FKE130838:FKE130839 FAI130838:FAI130839 EQM130838:EQM130839 EGQ130838:EGQ130839 DWU130838:DWU130839 DMY130838:DMY130839 DDC130838:DDC130839 CTG130838:CTG130839 CJK130838:CJK130839 BZO130838:BZO130839 BPS130838:BPS130839 BFW130838:BFW130839 AWA130838:AWA130839 AME130838:AME130839 ACI130838:ACI130839 SM130838:SM130839 IQ130838:IQ130839 WVC65302:WVC65303 WLG65302:WLG65303 WBK65302:WBK65303 VRO65302:VRO65303 VHS65302:VHS65303 UXW65302:UXW65303 UOA65302:UOA65303 UEE65302:UEE65303 TUI65302:TUI65303 TKM65302:TKM65303 TAQ65302:TAQ65303 SQU65302:SQU65303 SGY65302:SGY65303 RXC65302:RXC65303 RNG65302:RNG65303 RDK65302:RDK65303 QTO65302:QTO65303 QJS65302:QJS65303 PZW65302:PZW65303 PQA65302:PQA65303 PGE65302:PGE65303 OWI65302:OWI65303 OMM65302:OMM65303 OCQ65302:OCQ65303 NSU65302:NSU65303 NIY65302:NIY65303 MZC65302:MZC65303 MPG65302:MPG65303 MFK65302:MFK65303 LVO65302:LVO65303 LLS65302:LLS65303 LBW65302:LBW65303 KSA65302:KSA65303 KIE65302:KIE65303 JYI65302:JYI65303 JOM65302:JOM65303 JEQ65302:JEQ65303 IUU65302:IUU65303 IKY65302:IKY65303 IBC65302:IBC65303 HRG65302:HRG65303 HHK65302:HHK65303 GXO65302:GXO65303 GNS65302:GNS65303 GDW65302:GDW65303 FUA65302:FUA65303 FKE65302:FKE65303 FAI65302:FAI65303 EQM65302:EQM65303 EGQ65302:EGQ65303 DWU65302:DWU65303 DMY65302:DMY65303 DDC65302:DDC65303 CTG65302:CTG65303 CJK65302:CJK65303 BZO65302:BZO65303 BPS65302:BPS65303 BFW65302:BFW65303 AWA65302:AWA65303 AME65302:AME65303 ACI65302:ACI65303 SM65302:SM65303 IQ65302:IQ65303 WUE982762:WUE982851 WKI982762:WKI982851 WAM982762:WAM982851 VQQ982762:VQQ982851 VGU982762:VGU982851 UWY982762:UWY982851 UNC982762:UNC982851 UDG982762:UDG982851 TTK982762:TTK982851 TJO982762:TJO982851 SZS982762:SZS982851 SPW982762:SPW982851 SGA982762:SGA982851 RWE982762:RWE982851 RMI982762:RMI982851 RCM982762:RCM982851 QSQ982762:QSQ982851 QIU982762:QIU982851 PYY982762:PYY982851 PPC982762:PPC982851 PFG982762:PFG982851 OVK982762:OVK982851 OLO982762:OLO982851 OBS982762:OBS982851 NRW982762:NRW982851 NIA982762:NIA982851 MYE982762:MYE982851 MOI982762:MOI982851 MEM982762:MEM982851 LUQ982762:LUQ982851 LKU982762:LKU982851 LAY982762:LAY982851 KRC982762:KRC982851 KHG982762:KHG982851 JXK982762:JXK982851 JNO982762:JNO982851 JDS982762:JDS982851 ITW982762:ITW982851 IKA982762:IKA982851 IAE982762:IAE982851 HQI982762:HQI982851 HGM982762:HGM982851 GWQ982762:GWQ982851 GMU982762:GMU982851 GCY982762:GCY982851 FTC982762:FTC982851 FJG982762:FJG982851 EZK982762:EZK982851 EPO982762:EPO982851 EFS982762:EFS982851 DVW982762:DVW982851 DMA982762:DMA982851 DCE982762:DCE982851 CSI982762:CSI982851 CIM982762:CIM982851 BYQ982762:BYQ982851 BOU982762:BOU982851 BEY982762:BEY982851 AVC982762:AVC982851 ALG982762:ALG982851 ABK982762:ABK982851 RO982762:RO982851 HS982762:HS982851 WUE917226:WUE917315 WKI917226:WKI917315 WAM917226:WAM917315 VQQ917226:VQQ917315 VGU917226:VGU917315 UWY917226:UWY917315 UNC917226:UNC917315 UDG917226:UDG917315 TTK917226:TTK917315 TJO917226:TJO917315 SZS917226:SZS917315 SPW917226:SPW917315 SGA917226:SGA917315 RWE917226:RWE917315 RMI917226:RMI917315 RCM917226:RCM917315 QSQ917226:QSQ917315 QIU917226:QIU917315 PYY917226:PYY917315 PPC917226:PPC917315 PFG917226:PFG917315 OVK917226:OVK917315 OLO917226:OLO917315 OBS917226:OBS917315 NRW917226:NRW917315 NIA917226:NIA917315 MYE917226:MYE917315 MOI917226:MOI917315 MEM917226:MEM917315 LUQ917226:LUQ917315 LKU917226:LKU917315 LAY917226:LAY917315 KRC917226:KRC917315 KHG917226:KHG917315 JXK917226:JXK917315 JNO917226:JNO917315 JDS917226:JDS917315 ITW917226:ITW917315 IKA917226:IKA917315 IAE917226:IAE917315 HQI917226:HQI917315 HGM917226:HGM917315 GWQ917226:GWQ917315 GMU917226:GMU917315 GCY917226:GCY917315 FTC917226:FTC917315 FJG917226:FJG917315 EZK917226:EZK917315 EPO917226:EPO917315 EFS917226:EFS917315 DVW917226:DVW917315 DMA917226:DMA917315 DCE917226:DCE917315 CSI917226:CSI917315 CIM917226:CIM917315 BYQ917226:BYQ917315 BOU917226:BOU917315 BEY917226:BEY917315 AVC917226:AVC917315 ALG917226:ALG917315 ABK917226:ABK917315 RO917226:RO917315 HS917226:HS917315 WUE851690:WUE851779 WKI851690:WKI851779 WAM851690:WAM851779 VQQ851690:VQQ851779 VGU851690:VGU851779 UWY851690:UWY851779 UNC851690:UNC851779 UDG851690:UDG851779 TTK851690:TTK851779 TJO851690:TJO851779 SZS851690:SZS851779 SPW851690:SPW851779 SGA851690:SGA851779 RWE851690:RWE851779 RMI851690:RMI851779 RCM851690:RCM851779 QSQ851690:QSQ851779 QIU851690:QIU851779 PYY851690:PYY851779 PPC851690:PPC851779 PFG851690:PFG851779 OVK851690:OVK851779 OLO851690:OLO851779 OBS851690:OBS851779 NRW851690:NRW851779 NIA851690:NIA851779 MYE851690:MYE851779 MOI851690:MOI851779 MEM851690:MEM851779 LUQ851690:LUQ851779 LKU851690:LKU851779 LAY851690:LAY851779 KRC851690:KRC851779 KHG851690:KHG851779 JXK851690:JXK851779 JNO851690:JNO851779 JDS851690:JDS851779 ITW851690:ITW851779 IKA851690:IKA851779 IAE851690:IAE851779 HQI851690:HQI851779 HGM851690:HGM851779 GWQ851690:GWQ851779 GMU851690:GMU851779 GCY851690:GCY851779 FTC851690:FTC851779 FJG851690:FJG851779 EZK851690:EZK851779 EPO851690:EPO851779 EFS851690:EFS851779 DVW851690:DVW851779 DMA851690:DMA851779 DCE851690:DCE851779 CSI851690:CSI851779 CIM851690:CIM851779 BYQ851690:BYQ851779 BOU851690:BOU851779 BEY851690:BEY851779 AVC851690:AVC851779 ALG851690:ALG851779 ABK851690:ABK851779 RO851690:RO851779 HS851690:HS851779 WUE786154:WUE786243 WKI786154:WKI786243 WAM786154:WAM786243 VQQ786154:VQQ786243 VGU786154:VGU786243 UWY786154:UWY786243 UNC786154:UNC786243 UDG786154:UDG786243 TTK786154:TTK786243 TJO786154:TJO786243 SZS786154:SZS786243 SPW786154:SPW786243 SGA786154:SGA786243 RWE786154:RWE786243 RMI786154:RMI786243 RCM786154:RCM786243 QSQ786154:QSQ786243 QIU786154:QIU786243 PYY786154:PYY786243 PPC786154:PPC786243 PFG786154:PFG786243 OVK786154:OVK786243 OLO786154:OLO786243 OBS786154:OBS786243 NRW786154:NRW786243 NIA786154:NIA786243 MYE786154:MYE786243 MOI786154:MOI786243 MEM786154:MEM786243 LUQ786154:LUQ786243 LKU786154:LKU786243 LAY786154:LAY786243 KRC786154:KRC786243 KHG786154:KHG786243 JXK786154:JXK786243 JNO786154:JNO786243 JDS786154:JDS786243 ITW786154:ITW786243 IKA786154:IKA786243 IAE786154:IAE786243 HQI786154:HQI786243 HGM786154:HGM786243 GWQ786154:GWQ786243 GMU786154:GMU786243 GCY786154:GCY786243 FTC786154:FTC786243 FJG786154:FJG786243 EZK786154:EZK786243 EPO786154:EPO786243 EFS786154:EFS786243 DVW786154:DVW786243 DMA786154:DMA786243 DCE786154:DCE786243 CSI786154:CSI786243 CIM786154:CIM786243 BYQ786154:BYQ786243 BOU786154:BOU786243 BEY786154:BEY786243 AVC786154:AVC786243 ALG786154:ALG786243 ABK786154:ABK786243 RO786154:RO786243 HS786154:HS786243 WUE720618:WUE720707 WKI720618:WKI720707 WAM720618:WAM720707 VQQ720618:VQQ720707 VGU720618:VGU720707 UWY720618:UWY720707 UNC720618:UNC720707 UDG720618:UDG720707 TTK720618:TTK720707 TJO720618:TJO720707 SZS720618:SZS720707 SPW720618:SPW720707 SGA720618:SGA720707 RWE720618:RWE720707 RMI720618:RMI720707 RCM720618:RCM720707 QSQ720618:QSQ720707 QIU720618:QIU720707 PYY720618:PYY720707 PPC720618:PPC720707 PFG720618:PFG720707 OVK720618:OVK720707 OLO720618:OLO720707 OBS720618:OBS720707 NRW720618:NRW720707 NIA720618:NIA720707 MYE720618:MYE720707 MOI720618:MOI720707 MEM720618:MEM720707 LUQ720618:LUQ720707 LKU720618:LKU720707 LAY720618:LAY720707 KRC720618:KRC720707 KHG720618:KHG720707 JXK720618:JXK720707 JNO720618:JNO720707 JDS720618:JDS720707 ITW720618:ITW720707 IKA720618:IKA720707 IAE720618:IAE720707 HQI720618:HQI720707 HGM720618:HGM720707 GWQ720618:GWQ720707 GMU720618:GMU720707 GCY720618:GCY720707 FTC720618:FTC720707 FJG720618:FJG720707 EZK720618:EZK720707 EPO720618:EPO720707 EFS720618:EFS720707 DVW720618:DVW720707 DMA720618:DMA720707 DCE720618:DCE720707 CSI720618:CSI720707 CIM720618:CIM720707 BYQ720618:BYQ720707 BOU720618:BOU720707 BEY720618:BEY720707 AVC720618:AVC720707 ALG720618:ALG720707 ABK720618:ABK720707 RO720618:RO720707 HS720618:HS720707 WUE655082:WUE655171 WKI655082:WKI655171 WAM655082:WAM655171 VQQ655082:VQQ655171 VGU655082:VGU655171 UWY655082:UWY655171 UNC655082:UNC655171 UDG655082:UDG655171 TTK655082:TTK655171 TJO655082:TJO655171 SZS655082:SZS655171 SPW655082:SPW655171 SGA655082:SGA655171 RWE655082:RWE655171 RMI655082:RMI655171 RCM655082:RCM655171 QSQ655082:QSQ655171 QIU655082:QIU655171 PYY655082:PYY655171 PPC655082:PPC655171 PFG655082:PFG655171 OVK655082:OVK655171 OLO655082:OLO655171 OBS655082:OBS655171 NRW655082:NRW655171 NIA655082:NIA655171 MYE655082:MYE655171 MOI655082:MOI655171 MEM655082:MEM655171 LUQ655082:LUQ655171 LKU655082:LKU655171 LAY655082:LAY655171 KRC655082:KRC655171 KHG655082:KHG655171 JXK655082:JXK655171 JNO655082:JNO655171 JDS655082:JDS655171 ITW655082:ITW655171 IKA655082:IKA655171 IAE655082:IAE655171 HQI655082:HQI655171 HGM655082:HGM655171 GWQ655082:GWQ655171 GMU655082:GMU655171 GCY655082:GCY655171 FTC655082:FTC655171 FJG655082:FJG655171 EZK655082:EZK655171 EPO655082:EPO655171 EFS655082:EFS655171 DVW655082:DVW655171 DMA655082:DMA655171 DCE655082:DCE655171 CSI655082:CSI655171 CIM655082:CIM655171 BYQ655082:BYQ655171 BOU655082:BOU655171 BEY655082:BEY655171 AVC655082:AVC655171 ALG655082:ALG655171 ABK655082:ABK655171 RO655082:RO655171 HS655082:HS655171 WUE589546:WUE589635 WKI589546:WKI589635 WAM589546:WAM589635 VQQ589546:VQQ589635 VGU589546:VGU589635 UWY589546:UWY589635 UNC589546:UNC589635 UDG589546:UDG589635 TTK589546:TTK589635 TJO589546:TJO589635 SZS589546:SZS589635 SPW589546:SPW589635 SGA589546:SGA589635 RWE589546:RWE589635 RMI589546:RMI589635 RCM589546:RCM589635 QSQ589546:QSQ589635 QIU589546:QIU589635 PYY589546:PYY589635 PPC589546:PPC589635 PFG589546:PFG589635 OVK589546:OVK589635 OLO589546:OLO589635 OBS589546:OBS589635 NRW589546:NRW589635 NIA589546:NIA589635 MYE589546:MYE589635 MOI589546:MOI589635 MEM589546:MEM589635 LUQ589546:LUQ589635 LKU589546:LKU589635 LAY589546:LAY589635 KRC589546:KRC589635 KHG589546:KHG589635 JXK589546:JXK589635 JNO589546:JNO589635 JDS589546:JDS589635 ITW589546:ITW589635 IKA589546:IKA589635 IAE589546:IAE589635 HQI589546:HQI589635 HGM589546:HGM589635 GWQ589546:GWQ589635 GMU589546:GMU589635 GCY589546:GCY589635 FTC589546:FTC589635 FJG589546:FJG589635 EZK589546:EZK589635 EPO589546:EPO589635 EFS589546:EFS589635 DVW589546:DVW589635 DMA589546:DMA589635 DCE589546:DCE589635 CSI589546:CSI589635 CIM589546:CIM589635 BYQ589546:BYQ589635 BOU589546:BOU589635 BEY589546:BEY589635 AVC589546:AVC589635 ALG589546:ALG589635 ABK589546:ABK589635 RO589546:RO589635 HS589546:HS589635 WUE524010:WUE524099 WKI524010:WKI524099 WAM524010:WAM524099 VQQ524010:VQQ524099 VGU524010:VGU524099 UWY524010:UWY524099 UNC524010:UNC524099 UDG524010:UDG524099 TTK524010:TTK524099 TJO524010:TJO524099 SZS524010:SZS524099 SPW524010:SPW524099 SGA524010:SGA524099 RWE524010:RWE524099 RMI524010:RMI524099 RCM524010:RCM524099 QSQ524010:QSQ524099 QIU524010:QIU524099 PYY524010:PYY524099 PPC524010:PPC524099 PFG524010:PFG524099 OVK524010:OVK524099 OLO524010:OLO524099 OBS524010:OBS524099 NRW524010:NRW524099 NIA524010:NIA524099 MYE524010:MYE524099 MOI524010:MOI524099 MEM524010:MEM524099 LUQ524010:LUQ524099 LKU524010:LKU524099 LAY524010:LAY524099 KRC524010:KRC524099 KHG524010:KHG524099 JXK524010:JXK524099 JNO524010:JNO524099 JDS524010:JDS524099 ITW524010:ITW524099 IKA524010:IKA524099 IAE524010:IAE524099 HQI524010:HQI524099 HGM524010:HGM524099 GWQ524010:GWQ524099 GMU524010:GMU524099 GCY524010:GCY524099 FTC524010:FTC524099 FJG524010:FJG524099 EZK524010:EZK524099 EPO524010:EPO524099 EFS524010:EFS524099 DVW524010:DVW524099 DMA524010:DMA524099 DCE524010:DCE524099 CSI524010:CSI524099 CIM524010:CIM524099 BYQ524010:BYQ524099 BOU524010:BOU524099 BEY524010:BEY524099 AVC524010:AVC524099 ALG524010:ALG524099 ABK524010:ABK524099 RO524010:RO524099 HS524010:HS524099 WUE458474:WUE458563 WKI458474:WKI458563 WAM458474:WAM458563 VQQ458474:VQQ458563 VGU458474:VGU458563 UWY458474:UWY458563 UNC458474:UNC458563 UDG458474:UDG458563 TTK458474:TTK458563 TJO458474:TJO458563 SZS458474:SZS458563 SPW458474:SPW458563 SGA458474:SGA458563 RWE458474:RWE458563 RMI458474:RMI458563 RCM458474:RCM458563 QSQ458474:QSQ458563 QIU458474:QIU458563 PYY458474:PYY458563 PPC458474:PPC458563 PFG458474:PFG458563 OVK458474:OVK458563 OLO458474:OLO458563 OBS458474:OBS458563 NRW458474:NRW458563 NIA458474:NIA458563 MYE458474:MYE458563 MOI458474:MOI458563 MEM458474:MEM458563 LUQ458474:LUQ458563 LKU458474:LKU458563 LAY458474:LAY458563 KRC458474:KRC458563 KHG458474:KHG458563 JXK458474:JXK458563 JNO458474:JNO458563 JDS458474:JDS458563 ITW458474:ITW458563 IKA458474:IKA458563 IAE458474:IAE458563 HQI458474:HQI458563 HGM458474:HGM458563 GWQ458474:GWQ458563 GMU458474:GMU458563 GCY458474:GCY458563 FTC458474:FTC458563 FJG458474:FJG458563 EZK458474:EZK458563 EPO458474:EPO458563 EFS458474:EFS458563 DVW458474:DVW458563 DMA458474:DMA458563 DCE458474:DCE458563 CSI458474:CSI458563 CIM458474:CIM458563 BYQ458474:BYQ458563 BOU458474:BOU458563 BEY458474:BEY458563 AVC458474:AVC458563 ALG458474:ALG458563 ABK458474:ABK458563 RO458474:RO458563 HS458474:HS458563 WUE392938:WUE393027 WKI392938:WKI393027 WAM392938:WAM393027 VQQ392938:VQQ393027 VGU392938:VGU393027 UWY392938:UWY393027 UNC392938:UNC393027 UDG392938:UDG393027 TTK392938:TTK393027 TJO392938:TJO393027 SZS392938:SZS393027 SPW392938:SPW393027 SGA392938:SGA393027 RWE392938:RWE393027 RMI392938:RMI393027 RCM392938:RCM393027 QSQ392938:QSQ393027 QIU392938:QIU393027 PYY392938:PYY393027 PPC392938:PPC393027 PFG392938:PFG393027 OVK392938:OVK393027 OLO392938:OLO393027 OBS392938:OBS393027 NRW392938:NRW393027 NIA392938:NIA393027 MYE392938:MYE393027 MOI392938:MOI393027 MEM392938:MEM393027 LUQ392938:LUQ393027 LKU392938:LKU393027 LAY392938:LAY393027 KRC392938:KRC393027 KHG392938:KHG393027 JXK392938:JXK393027 JNO392938:JNO393027 JDS392938:JDS393027 ITW392938:ITW393027 IKA392938:IKA393027 IAE392938:IAE393027 HQI392938:HQI393027 HGM392938:HGM393027 GWQ392938:GWQ393027 GMU392938:GMU393027 GCY392938:GCY393027 FTC392938:FTC393027 FJG392938:FJG393027 EZK392938:EZK393027 EPO392938:EPO393027 EFS392938:EFS393027 DVW392938:DVW393027 DMA392938:DMA393027 DCE392938:DCE393027 CSI392938:CSI393027 CIM392938:CIM393027 BYQ392938:BYQ393027 BOU392938:BOU393027 BEY392938:BEY393027 AVC392938:AVC393027 ALG392938:ALG393027 ABK392938:ABK393027 RO392938:RO393027 HS392938:HS393027 WUE327402:WUE327491 WKI327402:WKI327491 WAM327402:WAM327491 VQQ327402:VQQ327491 VGU327402:VGU327491 UWY327402:UWY327491 UNC327402:UNC327491 UDG327402:UDG327491 TTK327402:TTK327491 TJO327402:TJO327491 SZS327402:SZS327491 SPW327402:SPW327491 SGA327402:SGA327491 RWE327402:RWE327491 RMI327402:RMI327491 RCM327402:RCM327491 QSQ327402:QSQ327491 QIU327402:QIU327491 PYY327402:PYY327491 PPC327402:PPC327491 PFG327402:PFG327491 OVK327402:OVK327491 OLO327402:OLO327491 OBS327402:OBS327491 NRW327402:NRW327491 NIA327402:NIA327491 MYE327402:MYE327491 MOI327402:MOI327491 MEM327402:MEM327491 LUQ327402:LUQ327491 LKU327402:LKU327491 LAY327402:LAY327491 KRC327402:KRC327491 KHG327402:KHG327491 JXK327402:JXK327491 JNO327402:JNO327491 JDS327402:JDS327491 ITW327402:ITW327491 IKA327402:IKA327491 IAE327402:IAE327491 HQI327402:HQI327491 HGM327402:HGM327491 GWQ327402:GWQ327491 GMU327402:GMU327491 GCY327402:GCY327491 FTC327402:FTC327491 FJG327402:FJG327491 EZK327402:EZK327491 EPO327402:EPO327491 EFS327402:EFS327491 DVW327402:DVW327491 DMA327402:DMA327491 DCE327402:DCE327491 CSI327402:CSI327491 CIM327402:CIM327491 BYQ327402:BYQ327491 BOU327402:BOU327491 BEY327402:BEY327491 AVC327402:AVC327491 ALG327402:ALG327491 ABK327402:ABK327491 RO327402:RO327491 HS327402:HS327491 WUE261866:WUE261955 WKI261866:WKI261955 WAM261866:WAM261955 VQQ261866:VQQ261955 VGU261866:VGU261955 UWY261866:UWY261955 UNC261866:UNC261955 UDG261866:UDG261955 TTK261866:TTK261955 TJO261866:TJO261955 SZS261866:SZS261955 SPW261866:SPW261955 SGA261866:SGA261955 RWE261866:RWE261955 RMI261866:RMI261955 RCM261866:RCM261955 QSQ261866:QSQ261955 QIU261866:QIU261955 PYY261866:PYY261955 PPC261866:PPC261955 PFG261866:PFG261955 OVK261866:OVK261955 OLO261866:OLO261955 OBS261866:OBS261955 NRW261866:NRW261955 NIA261866:NIA261955 MYE261866:MYE261955 MOI261866:MOI261955 MEM261866:MEM261955 LUQ261866:LUQ261955 LKU261866:LKU261955 LAY261866:LAY261955 KRC261866:KRC261955 KHG261866:KHG261955 JXK261866:JXK261955 JNO261866:JNO261955 JDS261866:JDS261955 ITW261866:ITW261955 IKA261866:IKA261955 IAE261866:IAE261955 HQI261866:HQI261955 HGM261866:HGM261955 GWQ261866:GWQ261955 GMU261866:GMU261955 GCY261866:GCY261955 FTC261866:FTC261955 FJG261866:FJG261955 EZK261866:EZK261955 EPO261866:EPO261955 EFS261866:EFS261955 DVW261866:DVW261955 DMA261866:DMA261955 DCE261866:DCE261955 CSI261866:CSI261955 CIM261866:CIM261955 BYQ261866:BYQ261955 BOU261866:BOU261955 BEY261866:BEY261955 AVC261866:AVC261955 ALG261866:ALG261955 ABK261866:ABK261955 RO261866:RO261955 HS261866:HS261955 WUE196330:WUE196419 WKI196330:WKI196419 WAM196330:WAM196419 VQQ196330:VQQ196419 VGU196330:VGU196419 UWY196330:UWY196419 UNC196330:UNC196419 UDG196330:UDG196419 TTK196330:TTK196419 TJO196330:TJO196419 SZS196330:SZS196419 SPW196330:SPW196419 SGA196330:SGA196419 RWE196330:RWE196419 RMI196330:RMI196419 RCM196330:RCM196419 QSQ196330:QSQ196419 QIU196330:QIU196419 PYY196330:PYY196419 PPC196330:PPC196419 PFG196330:PFG196419 OVK196330:OVK196419 OLO196330:OLO196419 OBS196330:OBS196419 NRW196330:NRW196419 NIA196330:NIA196419 MYE196330:MYE196419 MOI196330:MOI196419 MEM196330:MEM196419 LUQ196330:LUQ196419 LKU196330:LKU196419 LAY196330:LAY196419 KRC196330:KRC196419 KHG196330:KHG196419 JXK196330:JXK196419 JNO196330:JNO196419 JDS196330:JDS196419 ITW196330:ITW196419 IKA196330:IKA196419 IAE196330:IAE196419 HQI196330:HQI196419 HGM196330:HGM196419 GWQ196330:GWQ196419 GMU196330:GMU196419 GCY196330:GCY196419 FTC196330:FTC196419 FJG196330:FJG196419 EZK196330:EZK196419 EPO196330:EPO196419 EFS196330:EFS196419 DVW196330:DVW196419 DMA196330:DMA196419 DCE196330:DCE196419 CSI196330:CSI196419 CIM196330:CIM196419 BYQ196330:BYQ196419 BOU196330:BOU196419 BEY196330:BEY196419 AVC196330:AVC196419 ALG196330:ALG196419 ABK196330:ABK196419 RO196330:RO196419 HS196330:HS196419 WUE130794:WUE130883 WKI130794:WKI130883 WAM130794:WAM130883 VQQ130794:VQQ130883 VGU130794:VGU130883 UWY130794:UWY130883 UNC130794:UNC130883 UDG130794:UDG130883 TTK130794:TTK130883 TJO130794:TJO130883 SZS130794:SZS130883 SPW130794:SPW130883 SGA130794:SGA130883 RWE130794:RWE130883 RMI130794:RMI130883 RCM130794:RCM130883 QSQ130794:QSQ130883 QIU130794:QIU130883 PYY130794:PYY130883 PPC130794:PPC130883 PFG130794:PFG130883 OVK130794:OVK130883 OLO130794:OLO130883 OBS130794:OBS130883 NRW130794:NRW130883 NIA130794:NIA130883 MYE130794:MYE130883 MOI130794:MOI130883 MEM130794:MEM130883 LUQ130794:LUQ130883 LKU130794:LKU130883 LAY130794:LAY130883 KRC130794:KRC130883 KHG130794:KHG130883 JXK130794:JXK130883 JNO130794:JNO130883 JDS130794:JDS130883 ITW130794:ITW130883 IKA130794:IKA130883 IAE130794:IAE130883 HQI130794:HQI130883 HGM130794:HGM130883 GWQ130794:GWQ130883 GMU130794:GMU130883 GCY130794:GCY130883 FTC130794:FTC130883 FJG130794:FJG130883 EZK130794:EZK130883 EPO130794:EPO130883 EFS130794:EFS130883 DVW130794:DVW130883 DMA130794:DMA130883 DCE130794:DCE130883 CSI130794:CSI130883 CIM130794:CIM130883 BYQ130794:BYQ130883 BOU130794:BOU130883 BEY130794:BEY130883 AVC130794:AVC130883 ALG130794:ALG130883 ABK130794:ABK130883 RO130794:RO130883 HS130794:HS130883 WUE65258:WUE65347 WKI65258:WKI65347 WAM65258:WAM65347 VQQ65258:VQQ65347 VGU65258:VGU65347 UWY65258:UWY65347 UNC65258:UNC65347 UDG65258:UDG65347 TTK65258:TTK65347 TJO65258:TJO65347 SZS65258:SZS65347 SPW65258:SPW65347 SGA65258:SGA65347 RWE65258:RWE65347 RMI65258:RMI65347 RCM65258:RCM65347 QSQ65258:QSQ65347 QIU65258:QIU65347 PYY65258:PYY65347 PPC65258:PPC65347 PFG65258:PFG65347 OVK65258:OVK65347 OLO65258:OLO65347 OBS65258:OBS65347 NRW65258:NRW65347 NIA65258:NIA65347 MYE65258:MYE65347 MOI65258:MOI65347 MEM65258:MEM65347 LUQ65258:LUQ65347 LKU65258:LKU65347 LAY65258:LAY65347 KRC65258:KRC65347 KHG65258:KHG65347 JXK65258:JXK65347 JNO65258:JNO65347 JDS65258:JDS65347 ITW65258:ITW65347 IKA65258:IKA65347 IAE65258:IAE65347 HQI65258:HQI65347 HGM65258:HGM65347 GWQ65258:GWQ65347 GMU65258:GMU65347 GCY65258:GCY65347 FTC65258:FTC65347 FJG65258:FJG65347 EZK65258:EZK65347 EPO65258:EPO65347 EFS65258:EFS65347 DVW65258:DVW65347 DMA65258:DMA65347 DCE65258:DCE65347 CSI65258:CSI65347 CIM65258:CIM65347 BYQ65258:BYQ65347 BOU65258:BOU65347 BEY65258:BEY65347 AVC65258:AVC65347 ALG65258:ALG65347 ABK65258:ABK65347 RO65258:RO65347 HS65258:HS65347 WVJ982826:WVJ982833 WLN982826:WLN982833 WBR982826:WBR982833 VRV982826:VRV982833 VHZ982826:VHZ982833 UYD982826:UYD982833 UOH982826:UOH982833 UEL982826:UEL982833 TUP982826:TUP982833 TKT982826:TKT982833 TAX982826:TAX982833 SRB982826:SRB982833 SHF982826:SHF982833 RXJ982826:RXJ982833 RNN982826:RNN982833 RDR982826:RDR982833 QTV982826:QTV982833 QJZ982826:QJZ982833 QAD982826:QAD982833 PQH982826:PQH982833 PGL982826:PGL982833 OWP982826:OWP982833 OMT982826:OMT982833 OCX982826:OCX982833 NTB982826:NTB982833 NJF982826:NJF982833 MZJ982826:MZJ982833 MPN982826:MPN982833 MFR982826:MFR982833 LVV982826:LVV982833 LLZ982826:LLZ982833 LCD982826:LCD982833 KSH982826:KSH982833 KIL982826:KIL982833 JYP982826:JYP982833 JOT982826:JOT982833 JEX982826:JEX982833 IVB982826:IVB982833 ILF982826:ILF982833 IBJ982826:IBJ982833 HRN982826:HRN982833 HHR982826:HHR982833 GXV982826:GXV982833 GNZ982826:GNZ982833 GED982826:GED982833 FUH982826:FUH982833 FKL982826:FKL982833 FAP982826:FAP982833 EQT982826:EQT982833 EGX982826:EGX982833 DXB982826:DXB982833 DNF982826:DNF982833 DDJ982826:DDJ982833 CTN982826:CTN982833 CJR982826:CJR982833 BZV982826:BZV982833 BPZ982826:BPZ982833 BGD982826:BGD982833 AWH982826:AWH982833 AML982826:AML982833 ACP982826:ACP982833 ST982826:ST982833 IX982826:IX982833 WVJ917290:WVJ917297 WLN917290:WLN917297 WBR917290:WBR917297 VRV917290:VRV917297 VHZ917290:VHZ917297 UYD917290:UYD917297 UOH917290:UOH917297 UEL917290:UEL917297 TUP917290:TUP917297 TKT917290:TKT917297 TAX917290:TAX917297 SRB917290:SRB917297 SHF917290:SHF917297 RXJ917290:RXJ917297 RNN917290:RNN917297 RDR917290:RDR917297 QTV917290:QTV917297 QJZ917290:QJZ917297 QAD917290:QAD917297 PQH917290:PQH917297 PGL917290:PGL917297 OWP917290:OWP917297 OMT917290:OMT917297 OCX917290:OCX917297 NTB917290:NTB917297 NJF917290:NJF917297 MZJ917290:MZJ917297 MPN917290:MPN917297 MFR917290:MFR917297 LVV917290:LVV917297 LLZ917290:LLZ917297 LCD917290:LCD917297 KSH917290:KSH917297 KIL917290:KIL917297 JYP917290:JYP917297 JOT917290:JOT917297 JEX917290:JEX917297 IVB917290:IVB917297 ILF917290:ILF917297 IBJ917290:IBJ917297 HRN917290:HRN917297 HHR917290:HHR917297 GXV917290:GXV917297 GNZ917290:GNZ917297 GED917290:GED917297 FUH917290:FUH917297 FKL917290:FKL917297 FAP917290:FAP917297 EQT917290:EQT917297 EGX917290:EGX917297 DXB917290:DXB917297 DNF917290:DNF917297 DDJ917290:DDJ917297 CTN917290:CTN917297 CJR917290:CJR917297 BZV917290:BZV917297 BPZ917290:BPZ917297 BGD917290:BGD917297 AWH917290:AWH917297 AML917290:AML917297 ACP917290:ACP917297 ST917290:ST917297 IX917290:IX917297 WVJ851754:WVJ851761 WLN851754:WLN851761 WBR851754:WBR851761 VRV851754:VRV851761 VHZ851754:VHZ851761 UYD851754:UYD851761 UOH851754:UOH851761 UEL851754:UEL851761 TUP851754:TUP851761 TKT851754:TKT851761 TAX851754:TAX851761 SRB851754:SRB851761 SHF851754:SHF851761 RXJ851754:RXJ851761 RNN851754:RNN851761 RDR851754:RDR851761 QTV851754:QTV851761 QJZ851754:QJZ851761 QAD851754:QAD851761 PQH851754:PQH851761 PGL851754:PGL851761 OWP851754:OWP851761 OMT851754:OMT851761 OCX851754:OCX851761 NTB851754:NTB851761 NJF851754:NJF851761 MZJ851754:MZJ851761 MPN851754:MPN851761 MFR851754:MFR851761 LVV851754:LVV851761 LLZ851754:LLZ851761 LCD851754:LCD851761 KSH851754:KSH851761 KIL851754:KIL851761 JYP851754:JYP851761 JOT851754:JOT851761 JEX851754:JEX851761 IVB851754:IVB851761 ILF851754:ILF851761 IBJ851754:IBJ851761 HRN851754:HRN851761 HHR851754:HHR851761 GXV851754:GXV851761 GNZ851754:GNZ851761 GED851754:GED851761 FUH851754:FUH851761 FKL851754:FKL851761 FAP851754:FAP851761 EQT851754:EQT851761 EGX851754:EGX851761 DXB851754:DXB851761 DNF851754:DNF851761 DDJ851754:DDJ851761 CTN851754:CTN851761 CJR851754:CJR851761 BZV851754:BZV851761 BPZ851754:BPZ851761 BGD851754:BGD851761 AWH851754:AWH851761 AML851754:AML851761 ACP851754:ACP851761 ST851754:ST851761 IX851754:IX851761 WVJ786218:WVJ786225 WLN786218:WLN786225 WBR786218:WBR786225 VRV786218:VRV786225 VHZ786218:VHZ786225 UYD786218:UYD786225 UOH786218:UOH786225 UEL786218:UEL786225 TUP786218:TUP786225 TKT786218:TKT786225 TAX786218:TAX786225 SRB786218:SRB786225 SHF786218:SHF786225 RXJ786218:RXJ786225 RNN786218:RNN786225 RDR786218:RDR786225 QTV786218:QTV786225 QJZ786218:QJZ786225 QAD786218:QAD786225 PQH786218:PQH786225 PGL786218:PGL786225 OWP786218:OWP786225 OMT786218:OMT786225 OCX786218:OCX786225 NTB786218:NTB786225 NJF786218:NJF786225 MZJ786218:MZJ786225 MPN786218:MPN786225 MFR786218:MFR786225 LVV786218:LVV786225 LLZ786218:LLZ786225 LCD786218:LCD786225 KSH786218:KSH786225 KIL786218:KIL786225 JYP786218:JYP786225 JOT786218:JOT786225 JEX786218:JEX786225 IVB786218:IVB786225 ILF786218:ILF786225 IBJ786218:IBJ786225 HRN786218:HRN786225 HHR786218:HHR786225 GXV786218:GXV786225 GNZ786218:GNZ786225 GED786218:GED786225 FUH786218:FUH786225 FKL786218:FKL786225 FAP786218:FAP786225 EQT786218:EQT786225 EGX786218:EGX786225 DXB786218:DXB786225 DNF786218:DNF786225 DDJ786218:DDJ786225 CTN786218:CTN786225 CJR786218:CJR786225 BZV786218:BZV786225 BPZ786218:BPZ786225 BGD786218:BGD786225 AWH786218:AWH786225 AML786218:AML786225 ACP786218:ACP786225 ST786218:ST786225 IX786218:IX786225 WVJ720682:WVJ720689 WLN720682:WLN720689 WBR720682:WBR720689 VRV720682:VRV720689 VHZ720682:VHZ720689 UYD720682:UYD720689 UOH720682:UOH720689 UEL720682:UEL720689 TUP720682:TUP720689 TKT720682:TKT720689 TAX720682:TAX720689 SRB720682:SRB720689 SHF720682:SHF720689 RXJ720682:RXJ720689 RNN720682:RNN720689 RDR720682:RDR720689 QTV720682:QTV720689 QJZ720682:QJZ720689 QAD720682:QAD720689 PQH720682:PQH720689 PGL720682:PGL720689 OWP720682:OWP720689 OMT720682:OMT720689 OCX720682:OCX720689 NTB720682:NTB720689 NJF720682:NJF720689 MZJ720682:MZJ720689 MPN720682:MPN720689 MFR720682:MFR720689 LVV720682:LVV720689 LLZ720682:LLZ720689 LCD720682:LCD720689 KSH720682:KSH720689 KIL720682:KIL720689 JYP720682:JYP720689 JOT720682:JOT720689 JEX720682:JEX720689 IVB720682:IVB720689 ILF720682:ILF720689 IBJ720682:IBJ720689 HRN720682:HRN720689 HHR720682:HHR720689 GXV720682:GXV720689 GNZ720682:GNZ720689 GED720682:GED720689 FUH720682:FUH720689 FKL720682:FKL720689 FAP720682:FAP720689 EQT720682:EQT720689 EGX720682:EGX720689 DXB720682:DXB720689 DNF720682:DNF720689 DDJ720682:DDJ720689 CTN720682:CTN720689 CJR720682:CJR720689 BZV720682:BZV720689 BPZ720682:BPZ720689 BGD720682:BGD720689 AWH720682:AWH720689 AML720682:AML720689 ACP720682:ACP720689 ST720682:ST720689 IX720682:IX720689 WVJ655146:WVJ655153 WLN655146:WLN655153 WBR655146:WBR655153 VRV655146:VRV655153 VHZ655146:VHZ655153 UYD655146:UYD655153 UOH655146:UOH655153 UEL655146:UEL655153 TUP655146:TUP655153 TKT655146:TKT655153 TAX655146:TAX655153 SRB655146:SRB655153 SHF655146:SHF655153 RXJ655146:RXJ655153 RNN655146:RNN655153 RDR655146:RDR655153 QTV655146:QTV655153 QJZ655146:QJZ655153 QAD655146:QAD655153 PQH655146:PQH655153 PGL655146:PGL655153 OWP655146:OWP655153 OMT655146:OMT655153 OCX655146:OCX655153 NTB655146:NTB655153 NJF655146:NJF655153 MZJ655146:MZJ655153 MPN655146:MPN655153 MFR655146:MFR655153 LVV655146:LVV655153 LLZ655146:LLZ655153 LCD655146:LCD655153 KSH655146:KSH655153 KIL655146:KIL655153 JYP655146:JYP655153 JOT655146:JOT655153 JEX655146:JEX655153 IVB655146:IVB655153 ILF655146:ILF655153 IBJ655146:IBJ655153 HRN655146:HRN655153 HHR655146:HHR655153 GXV655146:GXV655153 GNZ655146:GNZ655153 GED655146:GED655153 FUH655146:FUH655153 FKL655146:FKL655153 FAP655146:FAP655153 EQT655146:EQT655153 EGX655146:EGX655153 DXB655146:DXB655153 DNF655146:DNF655153 DDJ655146:DDJ655153 CTN655146:CTN655153 CJR655146:CJR655153 BZV655146:BZV655153 BPZ655146:BPZ655153 BGD655146:BGD655153 AWH655146:AWH655153 AML655146:AML655153 ACP655146:ACP655153 ST655146:ST655153 IX655146:IX655153 WVJ589610:WVJ589617 WLN589610:WLN589617 WBR589610:WBR589617 VRV589610:VRV589617 VHZ589610:VHZ589617 UYD589610:UYD589617 UOH589610:UOH589617 UEL589610:UEL589617 TUP589610:TUP589617 TKT589610:TKT589617 TAX589610:TAX589617 SRB589610:SRB589617 SHF589610:SHF589617 RXJ589610:RXJ589617 RNN589610:RNN589617 RDR589610:RDR589617 QTV589610:QTV589617 QJZ589610:QJZ589617 QAD589610:QAD589617 PQH589610:PQH589617 PGL589610:PGL589617 OWP589610:OWP589617 OMT589610:OMT589617 OCX589610:OCX589617 NTB589610:NTB589617 NJF589610:NJF589617 MZJ589610:MZJ589617 MPN589610:MPN589617 MFR589610:MFR589617 LVV589610:LVV589617 LLZ589610:LLZ589617 LCD589610:LCD589617 KSH589610:KSH589617 KIL589610:KIL589617 JYP589610:JYP589617 JOT589610:JOT589617 JEX589610:JEX589617 IVB589610:IVB589617 ILF589610:ILF589617 IBJ589610:IBJ589617 HRN589610:HRN589617 HHR589610:HHR589617 GXV589610:GXV589617 GNZ589610:GNZ589617 GED589610:GED589617 FUH589610:FUH589617 FKL589610:FKL589617 FAP589610:FAP589617 EQT589610:EQT589617 EGX589610:EGX589617 DXB589610:DXB589617 DNF589610:DNF589617 DDJ589610:DDJ589617 CTN589610:CTN589617 CJR589610:CJR589617 BZV589610:BZV589617 BPZ589610:BPZ589617 BGD589610:BGD589617 AWH589610:AWH589617 AML589610:AML589617 ACP589610:ACP589617 ST589610:ST589617 IX589610:IX589617 WVJ524074:WVJ524081 WLN524074:WLN524081 WBR524074:WBR524081 VRV524074:VRV524081 VHZ524074:VHZ524081 UYD524074:UYD524081 UOH524074:UOH524081 UEL524074:UEL524081 TUP524074:TUP524081 TKT524074:TKT524081 TAX524074:TAX524081 SRB524074:SRB524081 SHF524074:SHF524081 RXJ524074:RXJ524081 RNN524074:RNN524081 RDR524074:RDR524081 QTV524074:QTV524081 QJZ524074:QJZ524081 QAD524074:QAD524081 PQH524074:PQH524081 PGL524074:PGL524081 OWP524074:OWP524081 OMT524074:OMT524081 OCX524074:OCX524081 NTB524074:NTB524081 NJF524074:NJF524081 MZJ524074:MZJ524081 MPN524074:MPN524081 MFR524074:MFR524081 LVV524074:LVV524081 LLZ524074:LLZ524081 LCD524074:LCD524081 KSH524074:KSH524081 KIL524074:KIL524081 JYP524074:JYP524081 JOT524074:JOT524081 JEX524074:JEX524081 IVB524074:IVB524081 ILF524074:ILF524081 IBJ524074:IBJ524081 HRN524074:HRN524081 HHR524074:HHR524081 GXV524074:GXV524081 GNZ524074:GNZ524081 GED524074:GED524081 FUH524074:FUH524081 FKL524074:FKL524081 FAP524074:FAP524081 EQT524074:EQT524081 EGX524074:EGX524081 DXB524074:DXB524081 DNF524074:DNF524081 DDJ524074:DDJ524081 CTN524074:CTN524081 CJR524074:CJR524081 BZV524074:BZV524081 BPZ524074:BPZ524081 BGD524074:BGD524081 AWH524074:AWH524081 AML524074:AML524081 ACP524074:ACP524081 ST524074:ST524081 IX524074:IX524081 WVJ458538:WVJ458545 WLN458538:WLN458545 WBR458538:WBR458545 VRV458538:VRV458545 VHZ458538:VHZ458545 UYD458538:UYD458545 UOH458538:UOH458545 UEL458538:UEL458545 TUP458538:TUP458545 TKT458538:TKT458545 TAX458538:TAX458545 SRB458538:SRB458545 SHF458538:SHF458545 RXJ458538:RXJ458545 RNN458538:RNN458545 RDR458538:RDR458545 QTV458538:QTV458545 QJZ458538:QJZ458545 QAD458538:QAD458545 PQH458538:PQH458545 PGL458538:PGL458545 OWP458538:OWP458545 OMT458538:OMT458545 OCX458538:OCX458545 NTB458538:NTB458545 NJF458538:NJF458545 MZJ458538:MZJ458545 MPN458538:MPN458545 MFR458538:MFR458545 LVV458538:LVV458545 LLZ458538:LLZ458545 LCD458538:LCD458545 KSH458538:KSH458545 KIL458538:KIL458545 JYP458538:JYP458545 JOT458538:JOT458545 JEX458538:JEX458545 IVB458538:IVB458545 ILF458538:ILF458545 IBJ458538:IBJ458545 HRN458538:HRN458545 HHR458538:HHR458545 GXV458538:GXV458545 GNZ458538:GNZ458545 GED458538:GED458545 FUH458538:FUH458545 FKL458538:FKL458545 FAP458538:FAP458545 EQT458538:EQT458545 EGX458538:EGX458545 DXB458538:DXB458545 DNF458538:DNF458545 DDJ458538:DDJ458545 CTN458538:CTN458545 CJR458538:CJR458545 BZV458538:BZV458545 BPZ458538:BPZ458545 BGD458538:BGD458545 AWH458538:AWH458545 AML458538:AML458545 ACP458538:ACP458545 ST458538:ST458545 IX458538:IX458545 WVJ393002:WVJ393009 WLN393002:WLN393009 WBR393002:WBR393009 VRV393002:VRV393009 VHZ393002:VHZ393009 UYD393002:UYD393009 UOH393002:UOH393009 UEL393002:UEL393009 TUP393002:TUP393009 TKT393002:TKT393009 TAX393002:TAX393009 SRB393002:SRB393009 SHF393002:SHF393009 RXJ393002:RXJ393009 RNN393002:RNN393009 RDR393002:RDR393009 QTV393002:QTV393009 QJZ393002:QJZ393009 QAD393002:QAD393009 PQH393002:PQH393009 PGL393002:PGL393009 OWP393002:OWP393009 OMT393002:OMT393009 OCX393002:OCX393009 NTB393002:NTB393009 NJF393002:NJF393009 MZJ393002:MZJ393009 MPN393002:MPN393009 MFR393002:MFR393009 LVV393002:LVV393009 LLZ393002:LLZ393009 LCD393002:LCD393009 KSH393002:KSH393009 KIL393002:KIL393009 JYP393002:JYP393009 JOT393002:JOT393009 JEX393002:JEX393009 IVB393002:IVB393009 ILF393002:ILF393009 IBJ393002:IBJ393009 HRN393002:HRN393009 HHR393002:HHR393009 GXV393002:GXV393009 GNZ393002:GNZ393009 GED393002:GED393009 FUH393002:FUH393009 FKL393002:FKL393009 FAP393002:FAP393009 EQT393002:EQT393009 EGX393002:EGX393009 DXB393002:DXB393009 DNF393002:DNF393009 DDJ393002:DDJ393009 CTN393002:CTN393009 CJR393002:CJR393009 BZV393002:BZV393009 BPZ393002:BPZ393009 BGD393002:BGD393009 AWH393002:AWH393009 AML393002:AML393009 ACP393002:ACP393009 ST393002:ST393009 IX393002:IX393009 WVJ327466:WVJ327473 WLN327466:WLN327473 WBR327466:WBR327473 VRV327466:VRV327473 VHZ327466:VHZ327473 UYD327466:UYD327473 UOH327466:UOH327473 UEL327466:UEL327473 TUP327466:TUP327473 TKT327466:TKT327473 TAX327466:TAX327473 SRB327466:SRB327473 SHF327466:SHF327473 RXJ327466:RXJ327473 RNN327466:RNN327473 RDR327466:RDR327473 QTV327466:QTV327473 QJZ327466:QJZ327473 QAD327466:QAD327473 PQH327466:PQH327473 PGL327466:PGL327473 OWP327466:OWP327473 OMT327466:OMT327473 OCX327466:OCX327473 NTB327466:NTB327473 NJF327466:NJF327473 MZJ327466:MZJ327473 MPN327466:MPN327473 MFR327466:MFR327473 LVV327466:LVV327473 LLZ327466:LLZ327473 LCD327466:LCD327473 KSH327466:KSH327473 KIL327466:KIL327473 JYP327466:JYP327473 JOT327466:JOT327473 JEX327466:JEX327473 IVB327466:IVB327473 ILF327466:ILF327473 IBJ327466:IBJ327473 HRN327466:HRN327473 HHR327466:HHR327473 GXV327466:GXV327473 GNZ327466:GNZ327473 GED327466:GED327473 FUH327466:FUH327473 FKL327466:FKL327473 FAP327466:FAP327473 EQT327466:EQT327473 EGX327466:EGX327473 DXB327466:DXB327473 DNF327466:DNF327473 DDJ327466:DDJ327473 CTN327466:CTN327473 CJR327466:CJR327473 BZV327466:BZV327473 BPZ327466:BPZ327473 BGD327466:BGD327473 AWH327466:AWH327473 AML327466:AML327473 ACP327466:ACP327473 ST327466:ST327473 IX327466:IX327473 WVJ261930:WVJ261937 WLN261930:WLN261937 WBR261930:WBR261937 VRV261930:VRV261937 VHZ261930:VHZ261937 UYD261930:UYD261937 UOH261930:UOH261937 UEL261930:UEL261937 TUP261930:TUP261937 TKT261930:TKT261937 TAX261930:TAX261937 SRB261930:SRB261937 SHF261930:SHF261937 RXJ261930:RXJ261937 RNN261930:RNN261937 RDR261930:RDR261937 QTV261930:QTV261937 QJZ261930:QJZ261937 QAD261930:QAD261937 PQH261930:PQH261937 PGL261930:PGL261937 OWP261930:OWP261937 OMT261930:OMT261937 OCX261930:OCX261937 NTB261930:NTB261937 NJF261930:NJF261937 MZJ261930:MZJ261937 MPN261930:MPN261937 MFR261930:MFR261937 LVV261930:LVV261937 LLZ261930:LLZ261937 LCD261930:LCD261937 KSH261930:KSH261937 KIL261930:KIL261937 JYP261930:JYP261937 JOT261930:JOT261937 JEX261930:JEX261937 IVB261930:IVB261937 ILF261930:ILF261937 IBJ261930:IBJ261937 HRN261930:HRN261937 HHR261930:HHR261937 GXV261930:GXV261937 GNZ261930:GNZ261937 GED261930:GED261937 FUH261930:FUH261937 FKL261930:FKL261937 FAP261930:FAP261937 EQT261930:EQT261937 EGX261930:EGX261937 DXB261930:DXB261937 DNF261930:DNF261937 DDJ261930:DDJ261937 CTN261930:CTN261937 CJR261930:CJR261937 BZV261930:BZV261937 BPZ261930:BPZ261937 BGD261930:BGD261937 AWH261930:AWH261937 AML261930:AML261937 ACP261930:ACP261937 ST261930:ST261937 IX261930:IX261937 WVJ196394:WVJ196401 WLN196394:WLN196401 WBR196394:WBR196401 VRV196394:VRV196401 VHZ196394:VHZ196401 UYD196394:UYD196401 UOH196394:UOH196401 UEL196394:UEL196401 TUP196394:TUP196401 TKT196394:TKT196401 TAX196394:TAX196401 SRB196394:SRB196401 SHF196394:SHF196401 RXJ196394:RXJ196401 RNN196394:RNN196401 RDR196394:RDR196401 QTV196394:QTV196401 QJZ196394:QJZ196401 QAD196394:QAD196401 PQH196394:PQH196401 PGL196394:PGL196401 OWP196394:OWP196401 OMT196394:OMT196401 OCX196394:OCX196401 NTB196394:NTB196401 NJF196394:NJF196401 MZJ196394:MZJ196401 MPN196394:MPN196401 MFR196394:MFR196401 LVV196394:LVV196401 LLZ196394:LLZ196401 LCD196394:LCD196401 KSH196394:KSH196401 KIL196394:KIL196401 JYP196394:JYP196401 JOT196394:JOT196401 JEX196394:JEX196401 IVB196394:IVB196401 ILF196394:ILF196401 IBJ196394:IBJ196401 HRN196394:HRN196401 HHR196394:HHR196401 GXV196394:GXV196401 GNZ196394:GNZ196401 GED196394:GED196401 FUH196394:FUH196401 FKL196394:FKL196401 FAP196394:FAP196401 EQT196394:EQT196401 EGX196394:EGX196401 DXB196394:DXB196401 DNF196394:DNF196401 DDJ196394:DDJ196401 CTN196394:CTN196401 CJR196394:CJR196401 BZV196394:BZV196401 BPZ196394:BPZ196401 BGD196394:BGD196401 AWH196394:AWH196401 AML196394:AML196401 ACP196394:ACP196401 ST196394:ST196401 IX196394:IX196401 WVJ130858:WVJ130865 WLN130858:WLN130865 WBR130858:WBR130865 VRV130858:VRV130865 VHZ130858:VHZ130865 UYD130858:UYD130865 UOH130858:UOH130865 UEL130858:UEL130865 TUP130858:TUP130865 TKT130858:TKT130865 TAX130858:TAX130865 SRB130858:SRB130865 SHF130858:SHF130865 RXJ130858:RXJ130865 RNN130858:RNN130865 RDR130858:RDR130865 QTV130858:QTV130865 QJZ130858:QJZ130865 QAD130858:QAD130865 PQH130858:PQH130865 PGL130858:PGL130865 OWP130858:OWP130865 OMT130858:OMT130865 OCX130858:OCX130865 NTB130858:NTB130865 NJF130858:NJF130865 MZJ130858:MZJ130865 MPN130858:MPN130865 MFR130858:MFR130865 LVV130858:LVV130865 LLZ130858:LLZ130865 LCD130858:LCD130865 KSH130858:KSH130865 KIL130858:KIL130865 JYP130858:JYP130865 JOT130858:JOT130865 JEX130858:JEX130865 IVB130858:IVB130865 ILF130858:ILF130865 IBJ130858:IBJ130865 HRN130858:HRN130865 HHR130858:HHR130865 GXV130858:GXV130865 GNZ130858:GNZ130865 GED130858:GED130865 FUH130858:FUH130865 FKL130858:FKL130865 FAP130858:FAP130865 EQT130858:EQT130865 EGX130858:EGX130865 DXB130858:DXB130865 DNF130858:DNF130865 DDJ130858:DDJ130865 CTN130858:CTN130865 CJR130858:CJR130865 BZV130858:BZV130865 BPZ130858:BPZ130865 BGD130858:BGD130865 AWH130858:AWH130865 AML130858:AML130865 ACP130858:ACP130865 ST130858:ST130865 IX130858:IX130865 WVJ65322:WVJ65329 WLN65322:WLN65329 WBR65322:WBR65329 VRV65322:VRV65329 VHZ65322:VHZ65329 UYD65322:UYD65329 UOH65322:UOH65329 UEL65322:UEL65329 TUP65322:TUP65329 TKT65322:TKT65329 TAX65322:TAX65329 SRB65322:SRB65329 SHF65322:SHF65329 RXJ65322:RXJ65329 RNN65322:RNN65329 RDR65322:RDR65329 QTV65322:QTV65329 QJZ65322:QJZ65329 QAD65322:QAD65329 PQH65322:PQH65329 PGL65322:PGL65329 OWP65322:OWP65329 OMT65322:OMT65329 OCX65322:OCX65329 NTB65322:NTB65329 NJF65322:NJF65329 MZJ65322:MZJ65329 MPN65322:MPN65329 MFR65322:MFR65329 LVV65322:LVV65329 LLZ65322:LLZ65329 LCD65322:LCD65329 KSH65322:KSH65329 KIL65322:KIL65329 JYP65322:JYP65329 JOT65322:JOT65329 JEX65322:JEX65329 IVB65322:IVB65329 ILF65322:ILF65329 IBJ65322:IBJ65329 HRN65322:HRN65329 HHR65322:HHR65329 GXV65322:GXV65329 GNZ65322:GNZ65329 GED65322:GED65329 FUH65322:FUH65329 FKL65322:FKL65329 FAP65322:FAP65329 EQT65322:EQT65329 EGX65322:EGX65329 DXB65322:DXB65329 DNF65322:DNF65329 DDJ65322:DDJ65329 CTN65322:CTN65329 CJR65322:CJR65329 BZV65322:BZV65329 BPZ65322:BPZ65329 BGD65322:BGD65329 AWH65322:AWH65329 AML65322:AML65329 ACP65322:ACP65329 ST65322:ST65329 IX65322:IX65329 WVJ982806:WVJ982807 WLN982806:WLN982807 WBR982806:WBR982807 VRV982806:VRV982807 VHZ982806:VHZ982807 UYD982806:UYD982807 UOH982806:UOH982807 UEL982806:UEL982807 TUP982806:TUP982807 TKT982806:TKT982807 TAX982806:TAX982807 SRB982806:SRB982807 SHF982806:SHF982807 RXJ982806:RXJ982807 RNN982806:RNN982807 RDR982806:RDR982807 QTV982806:QTV982807 QJZ982806:QJZ982807 QAD982806:QAD982807 PQH982806:PQH982807 PGL982806:PGL982807 OWP982806:OWP982807 OMT982806:OMT982807 OCX982806:OCX982807 NTB982806:NTB982807 NJF982806:NJF982807 MZJ982806:MZJ982807 MPN982806:MPN982807 MFR982806:MFR982807 LVV982806:LVV982807 LLZ982806:LLZ982807 LCD982806:LCD982807 KSH982806:KSH982807 KIL982806:KIL982807 JYP982806:JYP982807 JOT982806:JOT982807 JEX982806:JEX982807 IVB982806:IVB982807 ILF982806:ILF982807 IBJ982806:IBJ982807 HRN982806:HRN982807 HHR982806:HHR982807 GXV982806:GXV982807 GNZ982806:GNZ982807 GED982806:GED982807 FUH982806:FUH982807 FKL982806:FKL982807 FAP982806:FAP982807 EQT982806:EQT982807 EGX982806:EGX982807 DXB982806:DXB982807 DNF982806:DNF982807 DDJ982806:DDJ982807 CTN982806:CTN982807 CJR982806:CJR982807 BZV982806:BZV982807 BPZ982806:BPZ982807 BGD982806:BGD982807 AWH982806:AWH982807 AML982806:AML982807 ACP982806:ACP982807 ST982806:ST982807 IX982806:IX982807 WVJ917270:WVJ917271 WLN917270:WLN917271 WBR917270:WBR917271 VRV917270:VRV917271 VHZ917270:VHZ917271 UYD917270:UYD917271 UOH917270:UOH917271 UEL917270:UEL917271 TUP917270:TUP917271 TKT917270:TKT917271 TAX917270:TAX917271 SRB917270:SRB917271 SHF917270:SHF917271 RXJ917270:RXJ917271 RNN917270:RNN917271 RDR917270:RDR917271 QTV917270:QTV917271 QJZ917270:QJZ917271 QAD917270:QAD917271 PQH917270:PQH917271 PGL917270:PGL917271 OWP917270:OWP917271 OMT917270:OMT917271 OCX917270:OCX917271 NTB917270:NTB917271 NJF917270:NJF917271 MZJ917270:MZJ917271 MPN917270:MPN917271 MFR917270:MFR917271 LVV917270:LVV917271 LLZ917270:LLZ917271 LCD917270:LCD917271 KSH917270:KSH917271 KIL917270:KIL917271 JYP917270:JYP917271 JOT917270:JOT917271 JEX917270:JEX917271 IVB917270:IVB917271 ILF917270:ILF917271 IBJ917270:IBJ917271 HRN917270:HRN917271 HHR917270:HHR917271 GXV917270:GXV917271 GNZ917270:GNZ917271 GED917270:GED917271 FUH917270:FUH917271 FKL917270:FKL917271 FAP917270:FAP917271 EQT917270:EQT917271 EGX917270:EGX917271 DXB917270:DXB917271 DNF917270:DNF917271 DDJ917270:DDJ917271 CTN917270:CTN917271 CJR917270:CJR917271 BZV917270:BZV917271 BPZ917270:BPZ917271 BGD917270:BGD917271 AWH917270:AWH917271 AML917270:AML917271 ACP917270:ACP917271 ST917270:ST917271 IX917270:IX917271 WVJ851734:WVJ851735 WLN851734:WLN851735 WBR851734:WBR851735 VRV851734:VRV851735 VHZ851734:VHZ851735 UYD851734:UYD851735 UOH851734:UOH851735 UEL851734:UEL851735 TUP851734:TUP851735 TKT851734:TKT851735 TAX851734:TAX851735 SRB851734:SRB851735 SHF851734:SHF851735 RXJ851734:RXJ851735 RNN851734:RNN851735 RDR851734:RDR851735 QTV851734:QTV851735 QJZ851734:QJZ851735 QAD851734:QAD851735 PQH851734:PQH851735 PGL851734:PGL851735 OWP851734:OWP851735 OMT851734:OMT851735 OCX851734:OCX851735 NTB851734:NTB851735 NJF851734:NJF851735 MZJ851734:MZJ851735 MPN851734:MPN851735 MFR851734:MFR851735 LVV851734:LVV851735 LLZ851734:LLZ851735 LCD851734:LCD851735 KSH851734:KSH851735 KIL851734:KIL851735 JYP851734:JYP851735 JOT851734:JOT851735 JEX851734:JEX851735 IVB851734:IVB851735 ILF851734:ILF851735 IBJ851734:IBJ851735 HRN851734:HRN851735 HHR851734:HHR851735 GXV851734:GXV851735 GNZ851734:GNZ851735 GED851734:GED851735 FUH851734:FUH851735 FKL851734:FKL851735 FAP851734:FAP851735 EQT851734:EQT851735 EGX851734:EGX851735 DXB851734:DXB851735 DNF851734:DNF851735 DDJ851734:DDJ851735 CTN851734:CTN851735 CJR851734:CJR851735 BZV851734:BZV851735 BPZ851734:BPZ851735 BGD851734:BGD851735 AWH851734:AWH851735 AML851734:AML851735 ACP851734:ACP851735 ST851734:ST851735 IX851734:IX851735 WVJ786198:WVJ786199 WLN786198:WLN786199 WBR786198:WBR786199 VRV786198:VRV786199 VHZ786198:VHZ786199 UYD786198:UYD786199 UOH786198:UOH786199 UEL786198:UEL786199 TUP786198:TUP786199 TKT786198:TKT786199 TAX786198:TAX786199 SRB786198:SRB786199 SHF786198:SHF786199 RXJ786198:RXJ786199 RNN786198:RNN786199 RDR786198:RDR786199 QTV786198:QTV786199 QJZ786198:QJZ786199 QAD786198:QAD786199 PQH786198:PQH786199 PGL786198:PGL786199 OWP786198:OWP786199 OMT786198:OMT786199 OCX786198:OCX786199 NTB786198:NTB786199 NJF786198:NJF786199 MZJ786198:MZJ786199 MPN786198:MPN786199 MFR786198:MFR786199 LVV786198:LVV786199 LLZ786198:LLZ786199 LCD786198:LCD786199 KSH786198:KSH786199 KIL786198:KIL786199 JYP786198:JYP786199 JOT786198:JOT786199 JEX786198:JEX786199 IVB786198:IVB786199 ILF786198:ILF786199 IBJ786198:IBJ786199 HRN786198:HRN786199 HHR786198:HHR786199 GXV786198:GXV786199 GNZ786198:GNZ786199 GED786198:GED786199 FUH786198:FUH786199 FKL786198:FKL786199 FAP786198:FAP786199 EQT786198:EQT786199 EGX786198:EGX786199 DXB786198:DXB786199 DNF786198:DNF786199 DDJ786198:DDJ786199 CTN786198:CTN786199 CJR786198:CJR786199 BZV786198:BZV786199 BPZ786198:BPZ786199 BGD786198:BGD786199 AWH786198:AWH786199 AML786198:AML786199 ACP786198:ACP786199 ST786198:ST786199 IX786198:IX786199 WVJ720662:WVJ720663 WLN720662:WLN720663 WBR720662:WBR720663 VRV720662:VRV720663 VHZ720662:VHZ720663 UYD720662:UYD720663 UOH720662:UOH720663 UEL720662:UEL720663 TUP720662:TUP720663 TKT720662:TKT720663 TAX720662:TAX720663 SRB720662:SRB720663 SHF720662:SHF720663 RXJ720662:RXJ720663 RNN720662:RNN720663 RDR720662:RDR720663 QTV720662:QTV720663 QJZ720662:QJZ720663 QAD720662:QAD720663 PQH720662:PQH720663 PGL720662:PGL720663 OWP720662:OWP720663 OMT720662:OMT720663 OCX720662:OCX720663 NTB720662:NTB720663 NJF720662:NJF720663 MZJ720662:MZJ720663 MPN720662:MPN720663 MFR720662:MFR720663 LVV720662:LVV720663 LLZ720662:LLZ720663 LCD720662:LCD720663 KSH720662:KSH720663 KIL720662:KIL720663 JYP720662:JYP720663 JOT720662:JOT720663 JEX720662:JEX720663 IVB720662:IVB720663 ILF720662:ILF720663 IBJ720662:IBJ720663 HRN720662:HRN720663 HHR720662:HHR720663 GXV720662:GXV720663 GNZ720662:GNZ720663 GED720662:GED720663 FUH720662:FUH720663 FKL720662:FKL720663 FAP720662:FAP720663 EQT720662:EQT720663 EGX720662:EGX720663 DXB720662:DXB720663 DNF720662:DNF720663 DDJ720662:DDJ720663 CTN720662:CTN720663 CJR720662:CJR720663 BZV720662:BZV720663 BPZ720662:BPZ720663 BGD720662:BGD720663 AWH720662:AWH720663 AML720662:AML720663 ACP720662:ACP720663 ST720662:ST720663 IX720662:IX720663 WVJ655126:WVJ655127 WLN655126:WLN655127 WBR655126:WBR655127 VRV655126:VRV655127 VHZ655126:VHZ655127 UYD655126:UYD655127 UOH655126:UOH655127 UEL655126:UEL655127 TUP655126:TUP655127 TKT655126:TKT655127 TAX655126:TAX655127 SRB655126:SRB655127 SHF655126:SHF655127 RXJ655126:RXJ655127 RNN655126:RNN655127 RDR655126:RDR655127 QTV655126:QTV655127 QJZ655126:QJZ655127 QAD655126:QAD655127 PQH655126:PQH655127 PGL655126:PGL655127 OWP655126:OWP655127 OMT655126:OMT655127 OCX655126:OCX655127 NTB655126:NTB655127 NJF655126:NJF655127 MZJ655126:MZJ655127 MPN655126:MPN655127 MFR655126:MFR655127 LVV655126:LVV655127 LLZ655126:LLZ655127 LCD655126:LCD655127 KSH655126:KSH655127 KIL655126:KIL655127 JYP655126:JYP655127 JOT655126:JOT655127 JEX655126:JEX655127 IVB655126:IVB655127 ILF655126:ILF655127 IBJ655126:IBJ655127 HRN655126:HRN655127 HHR655126:HHR655127 GXV655126:GXV655127 GNZ655126:GNZ655127 GED655126:GED655127 FUH655126:FUH655127 FKL655126:FKL655127 FAP655126:FAP655127 EQT655126:EQT655127 EGX655126:EGX655127 DXB655126:DXB655127 DNF655126:DNF655127 DDJ655126:DDJ655127 CTN655126:CTN655127 CJR655126:CJR655127 BZV655126:BZV655127 BPZ655126:BPZ655127 BGD655126:BGD655127 AWH655126:AWH655127 AML655126:AML655127 ACP655126:ACP655127 ST655126:ST655127 IX655126:IX655127 WVJ589590:WVJ589591 WLN589590:WLN589591 WBR589590:WBR589591 VRV589590:VRV589591 VHZ589590:VHZ589591 UYD589590:UYD589591 UOH589590:UOH589591 UEL589590:UEL589591 TUP589590:TUP589591 TKT589590:TKT589591 TAX589590:TAX589591 SRB589590:SRB589591 SHF589590:SHF589591 RXJ589590:RXJ589591 RNN589590:RNN589591 RDR589590:RDR589591 QTV589590:QTV589591 QJZ589590:QJZ589591 QAD589590:QAD589591 PQH589590:PQH589591 PGL589590:PGL589591 OWP589590:OWP589591 OMT589590:OMT589591 OCX589590:OCX589591 NTB589590:NTB589591 NJF589590:NJF589591 MZJ589590:MZJ589591 MPN589590:MPN589591 MFR589590:MFR589591 LVV589590:LVV589591 LLZ589590:LLZ589591 LCD589590:LCD589591 KSH589590:KSH589591 KIL589590:KIL589591 JYP589590:JYP589591 JOT589590:JOT589591 JEX589590:JEX589591 IVB589590:IVB589591 ILF589590:ILF589591 IBJ589590:IBJ589591 HRN589590:HRN589591 HHR589590:HHR589591 GXV589590:GXV589591 GNZ589590:GNZ589591 GED589590:GED589591 FUH589590:FUH589591 FKL589590:FKL589591 FAP589590:FAP589591 EQT589590:EQT589591 EGX589590:EGX589591 DXB589590:DXB589591 DNF589590:DNF589591 DDJ589590:DDJ589591 CTN589590:CTN589591 CJR589590:CJR589591 BZV589590:BZV589591 BPZ589590:BPZ589591 BGD589590:BGD589591 AWH589590:AWH589591 AML589590:AML589591 ACP589590:ACP589591 ST589590:ST589591 IX589590:IX589591 WVJ524054:WVJ524055 WLN524054:WLN524055 WBR524054:WBR524055 VRV524054:VRV524055 VHZ524054:VHZ524055 UYD524054:UYD524055 UOH524054:UOH524055 UEL524054:UEL524055 TUP524054:TUP524055 TKT524054:TKT524055 TAX524054:TAX524055 SRB524054:SRB524055 SHF524054:SHF524055 RXJ524054:RXJ524055 RNN524054:RNN524055 RDR524054:RDR524055 QTV524054:QTV524055 QJZ524054:QJZ524055 QAD524054:QAD524055 PQH524054:PQH524055 PGL524054:PGL524055 OWP524054:OWP524055 OMT524054:OMT524055 OCX524054:OCX524055 NTB524054:NTB524055 NJF524054:NJF524055 MZJ524054:MZJ524055 MPN524054:MPN524055 MFR524054:MFR524055 LVV524054:LVV524055 LLZ524054:LLZ524055 LCD524054:LCD524055 KSH524054:KSH524055 KIL524054:KIL524055 JYP524054:JYP524055 JOT524054:JOT524055 JEX524054:JEX524055 IVB524054:IVB524055 ILF524054:ILF524055 IBJ524054:IBJ524055 HRN524054:HRN524055 HHR524054:HHR524055 GXV524054:GXV524055 GNZ524054:GNZ524055 GED524054:GED524055 FUH524054:FUH524055 FKL524054:FKL524055 FAP524054:FAP524055 EQT524054:EQT524055 EGX524054:EGX524055 DXB524054:DXB524055 DNF524054:DNF524055 DDJ524054:DDJ524055 CTN524054:CTN524055 CJR524054:CJR524055 BZV524054:BZV524055 BPZ524054:BPZ524055 BGD524054:BGD524055 AWH524054:AWH524055 AML524054:AML524055 ACP524054:ACP524055 ST524054:ST524055 IX524054:IX524055 WVJ458518:WVJ458519 WLN458518:WLN458519 WBR458518:WBR458519 VRV458518:VRV458519 VHZ458518:VHZ458519 UYD458518:UYD458519 UOH458518:UOH458519 UEL458518:UEL458519 TUP458518:TUP458519 TKT458518:TKT458519 TAX458518:TAX458519 SRB458518:SRB458519 SHF458518:SHF458519 RXJ458518:RXJ458519 RNN458518:RNN458519 RDR458518:RDR458519 QTV458518:QTV458519 QJZ458518:QJZ458519 QAD458518:QAD458519 PQH458518:PQH458519 PGL458518:PGL458519 OWP458518:OWP458519 OMT458518:OMT458519 OCX458518:OCX458519 NTB458518:NTB458519 NJF458518:NJF458519 MZJ458518:MZJ458519 MPN458518:MPN458519 MFR458518:MFR458519 LVV458518:LVV458519 LLZ458518:LLZ458519 LCD458518:LCD458519 KSH458518:KSH458519 KIL458518:KIL458519 JYP458518:JYP458519 JOT458518:JOT458519 JEX458518:JEX458519 IVB458518:IVB458519 ILF458518:ILF458519 IBJ458518:IBJ458519 HRN458518:HRN458519 HHR458518:HHR458519 GXV458518:GXV458519 GNZ458518:GNZ458519 GED458518:GED458519 FUH458518:FUH458519 FKL458518:FKL458519 FAP458518:FAP458519 EQT458518:EQT458519 EGX458518:EGX458519 DXB458518:DXB458519 DNF458518:DNF458519 DDJ458518:DDJ458519 CTN458518:CTN458519 CJR458518:CJR458519 BZV458518:BZV458519 BPZ458518:BPZ458519 BGD458518:BGD458519 AWH458518:AWH458519 AML458518:AML458519 ACP458518:ACP458519 ST458518:ST458519 IX458518:IX458519 WVJ392982:WVJ392983 WLN392982:WLN392983 WBR392982:WBR392983 VRV392982:VRV392983 VHZ392982:VHZ392983 UYD392982:UYD392983 UOH392982:UOH392983 UEL392982:UEL392983 TUP392982:TUP392983 TKT392982:TKT392983 TAX392982:TAX392983 SRB392982:SRB392983 SHF392982:SHF392983 RXJ392982:RXJ392983 RNN392982:RNN392983 RDR392982:RDR392983 QTV392982:QTV392983 QJZ392982:QJZ392983 QAD392982:QAD392983 PQH392982:PQH392983 PGL392982:PGL392983 OWP392982:OWP392983 OMT392982:OMT392983 OCX392982:OCX392983 NTB392982:NTB392983 NJF392982:NJF392983 MZJ392982:MZJ392983 MPN392982:MPN392983 MFR392982:MFR392983 LVV392982:LVV392983 LLZ392982:LLZ392983 LCD392982:LCD392983 KSH392982:KSH392983 KIL392982:KIL392983 JYP392982:JYP392983 JOT392982:JOT392983 JEX392982:JEX392983 IVB392982:IVB392983 ILF392982:ILF392983 IBJ392982:IBJ392983 HRN392982:HRN392983 HHR392982:HHR392983 GXV392982:GXV392983 GNZ392982:GNZ392983 GED392982:GED392983 FUH392982:FUH392983 FKL392982:FKL392983 FAP392982:FAP392983 EQT392982:EQT392983 EGX392982:EGX392983 DXB392982:DXB392983 DNF392982:DNF392983 DDJ392982:DDJ392983 CTN392982:CTN392983 CJR392982:CJR392983 BZV392982:BZV392983 BPZ392982:BPZ392983 BGD392982:BGD392983 AWH392982:AWH392983 AML392982:AML392983 ACP392982:ACP392983 ST392982:ST392983 IX392982:IX392983 WVJ327446:WVJ327447 WLN327446:WLN327447 WBR327446:WBR327447 VRV327446:VRV327447 VHZ327446:VHZ327447 UYD327446:UYD327447 UOH327446:UOH327447 UEL327446:UEL327447 TUP327446:TUP327447 TKT327446:TKT327447 TAX327446:TAX327447 SRB327446:SRB327447 SHF327446:SHF327447 RXJ327446:RXJ327447 RNN327446:RNN327447 RDR327446:RDR327447 QTV327446:QTV327447 QJZ327446:QJZ327447 QAD327446:QAD327447 PQH327446:PQH327447 PGL327446:PGL327447 OWP327446:OWP327447 OMT327446:OMT327447 OCX327446:OCX327447 NTB327446:NTB327447 NJF327446:NJF327447 MZJ327446:MZJ327447 MPN327446:MPN327447 MFR327446:MFR327447 LVV327446:LVV327447 LLZ327446:LLZ327447 LCD327446:LCD327447 KSH327446:KSH327447 KIL327446:KIL327447 JYP327446:JYP327447 JOT327446:JOT327447 JEX327446:JEX327447 IVB327446:IVB327447 ILF327446:ILF327447 IBJ327446:IBJ327447 HRN327446:HRN327447 HHR327446:HHR327447 GXV327446:GXV327447 GNZ327446:GNZ327447 GED327446:GED327447 FUH327446:FUH327447 FKL327446:FKL327447 FAP327446:FAP327447 EQT327446:EQT327447 EGX327446:EGX327447 DXB327446:DXB327447 DNF327446:DNF327447 DDJ327446:DDJ327447 CTN327446:CTN327447 CJR327446:CJR327447 BZV327446:BZV327447 BPZ327446:BPZ327447 BGD327446:BGD327447 AWH327446:AWH327447 AML327446:AML327447 ACP327446:ACP327447 ST327446:ST327447 IX327446:IX327447 WVJ261910:WVJ261911 WLN261910:WLN261911 WBR261910:WBR261911 VRV261910:VRV261911 VHZ261910:VHZ261911 UYD261910:UYD261911 UOH261910:UOH261911 UEL261910:UEL261911 TUP261910:TUP261911 TKT261910:TKT261911 TAX261910:TAX261911 SRB261910:SRB261911 SHF261910:SHF261911 RXJ261910:RXJ261911 RNN261910:RNN261911 RDR261910:RDR261911 QTV261910:QTV261911 QJZ261910:QJZ261911 QAD261910:QAD261911 PQH261910:PQH261911 PGL261910:PGL261911 OWP261910:OWP261911 OMT261910:OMT261911 OCX261910:OCX261911 NTB261910:NTB261911 NJF261910:NJF261911 MZJ261910:MZJ261911 MPN261910:MPN261911 MFR261910:MFR261911 LVV261910:LVV261911 LLZ261910:LLZ261911 LCD261910:LCD261911 KSH261910:KSH261911 KIL261910:KIL261911 JYP261910:JYP261911 JOT261910:JOT261911 JEX261910:JEX261911 IVB261910:IVB261911 ILF261910:ILF261911 IBJ261910:IBJ261911 HRN261910:HRN261911 HHR261910:HHR261911 GXV261910:GXV261911 GNZ261910:GNZ261911 GED261910:GED261911 FUH261910:FUH261911 FKL261910:FKL261911 FAP261910:FAP261911 EQT261910:EQT261911 EGX261910:EGX261911 DXB261910:DXB261911 DNF261910:DNF261911 DDJ261910:DDJ261911 CTN261910:CTN261911 CJR261910:CJR261911 BZV261910:BZV261911 BPZ261910:BPZ261911 BGD261910:BGD261911 AWH261910:AWH261911 AML261910:AML261911 ACP261910:ACP261911 ST261910:ST261911 IX261910:IX261911 WVJ196374:WVJ196375 WLN196374:WLN196375 WBR196374:WBR196375 VRV196374:VRV196375 VHZ196374:VHZ196375 UYD196374:UYD196375 UOH196374:UOH196375 UEL196374:UEL196375 TUP196374:TUP196375 TKT196374:TKT196375 TAX196374:TAX196375 SRB196374:SRB196375 SHF196374:SHF196375 RXJ196374:RXJ196375 RNN196374:RNN196375 RDR196374:RDR196375 QTV196374:QTV196375 QJZ196374:QJZ196375 QAD196374:QAD196375 PQH196374:PQH196375 PGL196374:PGL196375 OWP196374:OWP196375 OMT196374:OMT196375 OCX196374:OCX196375 NTB196374:NTB196375 NJF196374:NJF196375 MZJ196374:MZJ196375 MPN196374:MPN196375 MFR196374:MFR196375 LVV196374:LVV196375 LLZ196374:LLZ196375 LCD196374:LCD196375 KSH196374:KSH196375 KIL196374:KIL196375 JYP196374:JYP196375 JOT196374:JOT196375 JEX196374:JEX196375 IVB196374:IVB196375 ILF196374:ILF196375 IBJ196374:IBJ196375 HRN196374:HRN196375 HHR196374:HHR196375 GXV196374:GXV196375 GNZ196374:GNZ196375 GED196374:GED196375 FUH196374:FUH196375 FKL196374:FKL196375 FAP196374:FAP196375 EQT196374:EQT196375 EGX196374:EGX196375 DXB196374:DXB196375 DNF196374:DNF196375 DDJ196374:DDJ196375 CTN196374:CTN196375 CJR196374:CJR196375 BZV196374:BZV196375 BPZ196374:BPZ196375 BGD196374:BGD196375 AWH196374:AWH196375 AML196374:AML196375 ACP196374:ACP196375 ST196374:ST196375 IX196374:IX196375 WVJ130838:WVJ130839 WLN130838:WLN130839 WBR130838:WBR130839 VRV130838:VRV130839 VHZ130838:VHZ130839 UYD130838:UYD130839 UOH130838:UOH130839 UEL130838:UEL130839 TUP130838:TUP130839 TKT130838:TKT130839 TAX130838:TAX130839 SRB130838:SRB130839 SHF130838:SHF130839 RXJ130838:RXJ130839 RNN130838:RNN130839 RDR130838:RDR130839 QTV130838:QTV130839 QJZ130838:QJZ130839 QAD130838:QAD130839 PQH130838:PQH130839 PGL130838:PGL130839 OWP130838:OWP130839 OMT130838:OMT130839 OCX130838:OCX130839 NTB130838:NTB130839 NJF130838:NJF130839 MZJ130838:MZJ130839 MPN130838:MPN130839 MFR130838:MFR130839 LVV130838:LVV130839 LLZ130838:LLZ130839 LCD130838:LCD130839 KSH130838:KSH130839 KIL130838:KIL130839 JYP130838:JYP130839 JOT130838:JOT130839 JEX130838:JEX130839 IVB130838:IVB130839 ILF130838:ILF130839 IBJ130838:IBJ130839 HRN130838:HRN130839 HHR130838:HHR130839 GXV130838:GXV130839 GNZ130838:GNZ130839 GED130838:GED130839 FUH130838:FUH130839 FKL130838:FKL130839 FAP130838:FAP130839 EQT130838:EQT130839 EGX130838:EGX130839 DXB130838:DXB130839 DNF130838:DNF130839 DDJ130838:DDJ130839 CTN130838:CTN130839 CJR130838:CJR130839 BZV130838:BZV130839 BPZ130838:BPZ130839 BGD130838:BGD130839 AWH130838:AWH130839 AML130838:AML130839 ACP130838:ACP130839 ST130838:ST130839 IX130838:IX130839 WVJ65302:WVJ65303 WLN65302:WLN65303 WBR65302:WBR65303 VRV65302:VRV65303 VHZ65302:VHZ65303 UYD65302:UYD65303 UOH65302:UOH65303 UEL65302:UEL65303 TUP65302:TUP65303 TKT65302:TKT65303 TAX65302:TAX65303 SRB65302:SRB65303 SHF65302:SHF65303 RXJ65302:RXJ65303 RNN65302:RNN65303 RDR65302:RDR65303 QTV65302:QTV65303 QJZ65302:QJZ65303 QAD65302:QAD65303 PQH65302:PQH65303 PGL65302:PGL65303 OWP65302:OWP65303 OMT65302:OMT65303 OCX65302:OCX65303 NTB65302:NTB65303 NJF65302:NJF65303 MZJ65302:MZJ65303 MPN65302:MPN65303 MFR65302:MFR65303 LVV65302:LVV65303 LLZ65302:LLZ65303 LCD65302:LCD65303 KSH65302:KSH65303 KIL65302:KIL65303 JYP65302:JYP65303 JOT65302:JOT65303 JEX65302:JEX65303 IVB65302:IVB65303 ILF65302:ILF65303 IBJ65302:IBJ65303 HRN65302:HRN65303 HHR65302:HHR65303 GXV65302:GXV65303 GNZ65302:GNZ65303 GED65302:GED65303 FUH65302:FUH65303 FKL65302:FKL65303 FAP65302:FAP65303 EQT65302:EQT65303 EGX65302:EGX65303 DXB65302:DXB65303 DNF65302:DNF65303 DDJ65302:DDJ65303 CTN65302:CTN65303 CJR65302:CJR65303 BZV65302:BZV65303 BPZ65302:BPZ65303 BGD65302:BGD65303 AWH65302:AWH65303 AML65302:AML65303 ACP65302:ACP65303 ST65302:ST65303 IX65302:IX65303 WVC982814:WVC982815 WLG982814:WLG982815 WBK982814:WBK982815 VRO982814:VRO982815 VHS982814:VHS982815 UXW982814:UXW982815 UOA982814:UOA982815 UEE982814:UEE982815 TUI982814:TUI982815 TKM982814:TKM982815 TAQ982814:TAQ982815 SQU982814:SQU982815 SGY982814:SGY982815 RXC982814:RXC982815 RNG982814:RNG982815 RDK982814:RDK982815 QTO982814:QTO982815 QJS982814:QJS982815 PZW982814:PZW982815 PQA982814:PQA982815 PGE982814:PGE982815 OWI982814:OWI982815 OMM982814:OMM982815 OCQ982814:OCQ982815 NSU982814:NSU982815 NIY982814:NIY982815 MZC982814:MZC982815 MPG982814:MPG982815 MFK982814:MFK982815 LVO982814:LVO982815 LLS982814:LLS982815 LBW982814:LBW982815 KSA982814:KSA982815 KIE982814:KIE982815 JYI982814:JYI982815 JOM982814:JOM982815 JEQ982814:JEQ982815 IUU982814:IUU982815 IKY982814:IKY982815 IBC982814:IBC982815 HRG982814:HRG982815 HHK982814:HHK982815 GXO982814:GXO982815 GNS982814:GNS982815 GDW982814:GDW982815 FUA982814:FUA982815 FKE982814:FKE982815 FAI982814:FAI982815 EQM982814:EQM982815 EGQ982814:EGQ982815 DWU982814:DWU982815 DMY982814:DMY982815 DDC982814:DDC982815 CTG982814:CTG982815 CJK982814:CJK982815 BZO982814:BZO982815 BPS982814:BPS982815 BFW982814:BFW982815 AWA982814:AWA982815 AME982814:AME982815 ACI982814:ACI982815 SM982814:SM982815 IQ982814:IQ982815 WVC917278:WVC917279 WLG917278:WLG917279 WBK917278:WBK917279 VRO917278:VRO917279 VHS917278:VHS917279 UXW917278:UXW917279 UOA917278:UOA917279 UEE917278:UEE917279 TUI917278:TUI917279 TKM917278:TKM917279 TAQ917278:TAQ917279 SQU917278:SQU917279 SGY917278:SGY917279 RXC917278:RXC917279 RNG917278:RNG917279 RDK917278:RDK917279 QTO917278:QTO917279 QJS917278:QJS917279 PZW917278:PZW917279 PQA917278:PQA917279 PGE917278:PGE917279 OWI917278:OWI917279 OMM917278:OMM917279 OCQ917278:OCQ917279 NSU917278:NSU917279 NIY917278:NIY917279 MZC917278:MZC917279 MPG917278:MPG917279 MFK917278:MFK917279 LVO917278:LVO917279 LLS917278:LLS917279 LBW917278:LBW917279 KSA917278:KSA917279 KIE917278:KIE917279 JYI917278:JYI917279 JOM917278:JOM917279 JEQ917278:JEQ917279 IUU917278:IUU917279 IKY917278:IKY917279 IBC917278:IBC917279 HRG917278:HRG917279 HHK917278:HHK917279 GXO917278:GXO917279 GNS917278:GNS917279 GDW917278:GDW917279 FUA917278:FUA917279 FKE917278:FKE917279 FAI917278:FAI917279 EQM917278:EQM917279 EGQ917278:EGQ917279 DWU917278:DWU917279 DMY917278:DMY917279 DDC917278:DDC917279 CTG917278:CTG917279 CJK917278:CJK917279 BZO917278:BZO917279 BPS917278:BPS917279 BFW917278:BFW917279 AWA917278:AWA917279 AME917278:AME917279 ACI917278:ACI917279 SM917278:SM917279 IQ917278:IQ917279 WVC851742:WVC851743 WLG851742:WLG851743 WBK851742:WBK851743 VRO851742:VRO851743 VHS851742:VHS851743 UXW851742:UXW851743 UOA851742:UOA851743 UEE851742:UEE851743 TUI851742:TUI851743 TKM851742:TKM851743 TAQ851742:TAQ851743 SQU851742:SQU851743 SGY851742:SGY851743 RXC851742:RXC851743 RNG851742:RNG851743 RDK851742:RDK851743 QTO851742:QTO851743 QJS851742:QJS851743 PZW851742:PZW851743 PQA851742:PQA851743 PGE851742:PGE851743 OWI851742:OWI851743 OMM851742:OMM851743 OCQ851742:OCQ851743 NSU851742:NSU851743 NIY851742:NIY851743 MZC851742:MZC851743 MPG851742:MPG851743 MFK851742:MFK851743 LVO851742:LVO851743 LLS851742:LLS851743 LBW851742:LBW851743 KSA851742:KSA851743 KIE851742:KIE851743 JYI851742:JYI851743 JOM851742:JOM851743 JEQ851742:JEQ851743 IUU851742:IUU851743 IKY851742:IKY851743 IBC851742:IBC851743 HRG851742:HRG851743 HHK851742:HHK851743 GXO851742:GXO851743 GNS851742:GNS851743 GDW851742:GDW851743 FUA851742:FUA851743 FKE851742:FKE851743 FAI851742:FAI851743 EQM851742:EQM851743 EGQ851742:EGQ851743 DWU851742:DWU851743 DMY851742:DMY851743 DDC851742:DDC851743 CTG851742:CTG851743 CJK851742:CJK851743 BZO851742:BZO851743 BPS851742:BPS851743 BFW851742:BFW851743 AWA851742:AWA851743 AME851742:AME851743 ACI851742:ACI851743 SM851742:SM851743 IQ851742:IQ851743 WVC786206:WVC786207 WLG786206:WLG786207 WBK786206:WBK786207 VRO786206:VRO786207 VHS786206:VHS786207 UXW786206:UXW786207 UOA786206:UOA786207 UEE786206:UEE786207 TUI786206:TUI786207 TKM786206:TKM786207 TAQ786206:TAQ786207 SQU786206:SQU786207 SGY786206:SGY786207 RXC786206:RXC786207 RNG786206:RNG786207 RDK786206:RDK786207 QTO786206:QTO786207 QJS786206:QJS786207 PZW786206:PZW786207 PQA786206:PQA786207 PGE786206:PGE786207 OWI786206:OWI786207 OMM786206:OMM786207 OCQ786206:OCQ786207 NSU786206:NSU786207 NIY786206:NIY786207 MZC786206:MZC786207 MPG786206:MPG786207 MFK786206:MFK786207 LVO786206:LVO786207 LLS786206:LLS786207 LBW786206:LBW786207 KSA786206:KSA786207 KIE786206:KIE786207 JYI786206:JYI786207 JOM786206:JOM786207 JEQ786206:JEQ786207 IUU786206:IUU786207 IKY786206:IKY786207 IBC786206:IBC786207 HRG786206:HRG786207 HHK786206:HHK786207 GXO786206:GXO786207 GNS786206:GNS786207 GDW786206:GDW786207 FUA786206:FUA786207 FKE786206:FKE786207 FAI786206:FAI786207 EQM786206:EQM786207 EGQ786206:EGQ786207 DWU786206:DWU786207 DMY786206:DMY786207 DDC786206:DDC786207 CTG786206:CTG786207 CJK786206:CJK786207 BZO786206:BZO786207 BPS786206:BPS786207 BFW786206:BFW786207 AWA786206:AWA786207 AME786206:AME786207 ACI786206:ACI786207 SM786206:SM786207 IQ786206:IQ786207 WVC720670:WVC720671 WLG720670:WLG720671 WBK720670:WBK720671 VRO720670:VRO720671 VHS720670:VHS720671 UXW720670:UXW720671 UOA720670:UOA720671 UEE720670:UEE720671 TUI720670:TUI720671 TKM720670:TKM720671 TAQ720670:TAQ720671 SQU720670:SQU720671 SGY720670:SGY720671 RXC720670:RXC720671 RNG720670:RNG720671 RDK720670:RDK720671 QTO720670:QTO720671 QJS720670:QJS720671 PZW720670:PZW720671 PQA720670:PQA720671 PGE720670:PGE720671 OWI720670:OWI720671 OMM720670:OMM720671 OCQ720670:OCQ720671 NSU720670:NSU720671 NIY720670:NIY720671 MZC720670:MZC720671 MPG720670:MPG720671 MFK720670:MFK720671 LVO720670:LVO720671 LLS720670:LLS720671 LBW720670:LBW720671 KSA720670:KSA720671 KIE720670:KIE720671 JYI720670:JYI720671 JOM720670:JOM720671 JEQ720670:JEQ720671 IUU720670:IUU720671 IKY720670:IKY720671 IBC720670:IBC720671 HRG720670:HRG720671 HHK720670:HHK720671 GXO720670:GXO720671 GNS720670:GNS720671 GDW720670:GDW720671 FUA720670:FUA720671 FKE720670:FKE720671 FAI720670:FAI720671 EQM720670:EQM720671 EGQ720670:EGQ720671 DWU720670:DWU720671 DMY720670:DMY720671 DDC720670:DDC720671 CTG720670:CTG720671 CJK720670:CJK720671 BZO720670:BZO720671 BPS720670:BPS720671 BFW720670:BFW720671 AWA720670:AWA720671 AME720670:AME720671 ACI720670:ACI720671 SM720670:SM720671 IQ720670:IQ720671 WVC655134:WVC655135 WLG655134:WLG655135 WBK655134:WBK655135 VRO655134:VRO655135 VHS655134:VHS655135 UXW655134:UXW655135 UOA655134:UOA655135 UEE655134:UEE655135 TUI655134:TUI655135 TKM655134:TKM655135 TAQ655134:TAQ655135 SQU655134:SQU655135 SGY655134:SGY655135 RXC655134:RXC655135 RNG655134:RNG655135 RDK655134:RDK655135 QTO655134:QTO655135 QJS655134:QJS655135 PZW655134:PZW655135 PQA655134:PQA655135 PGE655134:PGE655135 OWI655134:OWI655135 OMM655134:OMM655135 OCQ655134:OCQ655135 NSU655134:NSU655135 NIY655134:NIY655135 MZC655134:MZC655135 MPG655134:MPG655135 MFK655134:MFK655135 LVO655134:LVO655135 LLS655134:LLS655135 LBW655134:LBW655135 KSA655134:KSA655135 KIE655134:KIE655135 JYI655134:JYI655135 JOM655134:JOM655135 JEQ655134:JEQ655135 IUU655134:IUU655135 IKY655134:IKY655135 IBC655134:IBC655135 HRG655134:HRG655135 HHK655134:HHK655135 GXO655134:GXO655135 GNS655134:GNS655135 GDW655134:GDW655135 FUA655134:FUA655135 FKE655134:FKE655135 FAI655134:FAI655135 EQM655134:EQM655135 EGQ655134:EGQ655135 DWU655134:DWU655135 DMY655134:DMY655135 DDC655134:DDC655135 CTG655134:CTG655135 CJK655134:CJK655135 BZO655134:BZO655135 BPS655134:BPS655135 BFW655134:BFW655135 AWA655134:AWA655135 AME655134:AME655135 ACI655134:ACI655135 SM655134:SM655135 IQ655134:IQ655135 WVC589598:WVC589599 WLG589598:WLG589599 WBK589598:WBK589599 VRO589598:VRO589599 VHS589598:VHS589599 UXW589598:UXW589599 UOA589598:UOA589599 UEE589598:UEE589599 TUI589598:TUI589599 TKM589598:TKM589599 TAQ589598:TAQ589599 SQU589598:SQU589599 SGY589598:SGY589599 RXC589598:RXC589599 RNG589598:RNG589599 RDK589598:RDK589599 QTO589598:QTO589599 QJS589598:QJS589599 PZW589598:PZW589599 PQA589598:PQA589599 PGE589598:PGE589599 OWI589598:OWI589599 OMM589598:OMM589599 OCQ589598:OCQ589599 NSU589598:NSU589599 NIY589598:NIY589599 MZC589598:MZC589599 MPG589598:MPG589599 MFK589598:MFK589599 LVO589598:LVO589599 LLS589598:LLS589599 LBW589598:LBW589599 KSA589598:KSA589599 KIE589598:KIE589599 JYI589598:JYI589599 JOM589598:JOM589599 JEQ589598:JEQ589599 IUU589598:IUU589599 IKY589598:IKY589599 IBC589598:IBC589599 HRG589598:HRG589599 HHK589598:HHK589599 GXO589598:GXO589599 GNS589598:GNS589599 GDW589598:GDW589599 FUA589598:FUA589599 FKE589598:FKE589599 FAI589598:FAI589599 EQM589598:EQM589599 EGQ589598:EGQ589599 DWU589598:DWU589599 DMY589598:DMY589599 DDC589598:DDC589599 CTG589598:CTG589599 CJK589598:CJK589599 BZO589598:BZO589599 BPS589598:BPS589599 BFW589598:BFW589599 AWA589598:AWA589599 AME589598:AME589599 ACI589598:ACI589599 SM589598:SM589599 IQ589598:IQ589599 WVC524062:WVC524063 WLG524062:WLG524063 WBK524062:WBK524063 VRO524062:VRO524063 VHS524062:VHS524063 UXW524062:UXW524063 UOA524062:UOA524063 UEE524062:UEE524063 TUI524062:TUI524063 TKM524062:TKM524063 TAQ524062:TAQ524063 SQU524062:SQU524063 SGY524062:SGY524063 RXC524062:RXC524063 RNG524062:RNG524063 RDK524062:RDK524063 QTO524062:QTO524063 QJS524062:QJS524063 PZW524062:PZW524063 PQA524062:PQA524063 PGE524062:PGE524063 OWI524062:OWI524063 OMM524062:OMM524063 OCQ524062:OCQ524063 NSU524062:NSU524063 NIY524062:NIY524063 MZC524062:MZC524063 MPG524062:MPG524063 MFK524062:MFK524063 LVO524062:LVO524063 LLS524062:LLS524063 LBW524062:LBW524063 KSA524062:KSA524063 KIE524062:KIE524063 JYI524062:JYI524063 JOM524062:JOM524063 JEQ524062:JEQ524063 IUU524062:IUU524063 IKY524062:IKY524063 IBC524062:IBC524063 HRG524062:HRG524063 HHK524062:HHK524063 GXO524062:GXO524063 GNS524062:GNS524063 GDW524062:GDW524063 FUA524062:FUA524063 FKE524062:FKE524063 FAI524062:FAI524063 EQM524062:EQM524063 EGQ524062:EGQ524063 DWU524062:DWU524063 DMY524062:DMY524063 DDC524062:DDC524063 CTG524062:CTG524063 CJK524062:CJK524063 BZO524062:BZO524063 BPS524062:BPS524063 BFW524062:BFW524063 AWA524062:AWA524063 AME524062:AME524063 ACI524062:ACI524063 SM524062:SM524063 IQ524062:IQ524063 WVC458526:WVC458527 WLG458526:WLG458527 WBK458526:WBK458527 VRO458526:VRO458527 VHS458526:VHS458527 UXW458526:UXW458527 UOA458526:UOA458527 UEE458526:UEE458527 TUI458526:TUI458527 TKM458526:TKM458527 TAQ458526:TAQ458527 SQU458526:SQU458527 SGY458526:SGY458527 RXC458526:RXC458527 RNG458526:RNG458527 RDK458526:RDK458527 QTO458526:QTO458527 QJS458526:QJS458527 PZW458526:PZW458527 PQA458526:PQA458527 PGE458526:PGE458527 OWI458526:OWI458527 OMM458526:OMM458527 OCQ458526:OCQ458527 NSU458526:NSU458527 NIY458526:NIY458527 MZC458526:MZC458527 MPG458526:MPG458527 MFK458526:MFK458527 LVO458526:LVO458527 LLS458526:LLS458527 LBW458526:LBW458527 KSA458526:KSA458527 KIE458526:KIE458527 JYI458526:JYI458527 JOM458526:JOM458527 JEQ458526:JEQ458527 IUU458526:IUU458527 IKY458526:IKY458527 IBC458526:IBC458527 HRG458526:HRG458527 HHK458526:HHK458527 GXO458526:GXO458527 GNS458526:GNS458527 GDW458526:GDW458527 FUA458526:FUA458527 FKE458526:FKE458527 FAI458526:FAI458527 EQM458526:EQM458527 EGQ458526:EGQ458527 DWU458526:DWU458527 DMY458526:DMY458527 DDC458526:DDC458527 CTG458526:CTG458527 CJK458526:CJK458527 BZO458526:BZO458527 BPS458526:BPS458527 BFW458526:BFW458527 AWA458526:AWA458527 AME458526:AME458527 ACI458526:ACI458527 SM458526:SM458527 IQ458526:IQ458527 WVC392990:WVC392991 WLG392990:WLG392991 WBK392990:WBK392991 VRO392990:VRO392991 VHS392990:VHS392991 UXW392990:UXW392991 UOA392990:UOA392991 UEE392990:UEE392991 TUI392990:TUI392991 TKM392990:TKM392991 TAQ392990:TAQ392991 SQU392990:SQU392991 SGY392990:SGY392991 RXC392990:RXC392991 RNG392990:RNG392991 RDK392990:RDK392991 QTO392990:QTO392991 QJS392990:QJS392991 PZW392990:PZW392991 PQA392990:PQA392991 PGE392990:PGE392991 OWI392990:OWI392991 OMM392990:OMM392991 OCQ392990:OCQ392991 NSU392990:NSU392991 NIY392990:NIY392991 MZC392990:MZC392991 MPG392990:MPG392991 MFK392990:MFK392991 LVO392990:LVO392991 LLS392990:LLS392991 LBW392990:LBW392991 KSA392990:KSA392991 KIE392990:KIE392991 JYI392990:JYI392991 JOM392990:JOM392991 JEQ392990:JEQ392991 IUU392990:IUU392991 IKY392990:IKY392991 IBC392990:IBC392991 HRG392990:HRG392991 HHK392990:HHK392991 GXO392990:GXO392991 GNS392990:GNS392991 GDW392990:GDW392991 FUA392990:FUA392991 FKE392990:FKE392991 FAI392990:FAI392991 EQM392990:EQM392991 EGQ392990:EGQ392991 DWU392990:DWU392991 DMY392990:DMY392991 DDC392990:DDC392991 CTG392990:CTG392991 CJK392990:CJK392991 BZO392990:BZO392991 BPS392990:BPS392991 BFW392990:BFW392991 AWA392990:AWA392991 AME392990:AME392991 ACI392990:ACI392991 SM392990:SM392991 IQ392990:IQ392991 WVC327454:WVC327455 WLG327454:WLG327455 WBK327454:WBK327455 VRO327454:VRO327455 VHS327454:VHS327455 UXW327454:UXW327455 UOA327454:UOA327455 UEE327454:UEE327455 TUI327454:TUI327455 TKM327454:TKM327455 TAQ327454:TAQ327455 SQU327454:SQU327455 SGY327454:SGY327455 RXC327454:RXC327455 RNG327454:RNG327455 RDK327454:RDK327455 QTO327454:QTO327455 QJS327454:QJS327455 PZW327454:PZW327455 PQA327454:PQA327455 PGE327454:PGE327455 OWI327454:OWI327455 OMM327454:OMM327455 OCQ327454:OCQ327455 NSU327454:NSU327455 NIY327454:NIY327455 MZC327454:MZC327455 MPG327454:MPG327455 MFK327454:MFK327455 LVO327454:LVO327455 LLS327454:LLS327455 LBW327454:LBW327455 KSA327454:KSA327455 KIE327454:KIE327455 JYI327454:JYI327455 JOM327454:JOM327455 JEQ327454:JEQ327455 IUU327454:IUU327455 IKY327454:IKY327455 IBC327454:IBC327455 HRG327454:HRG327455 HHK327454:HHK327455 GXO327454:GXO327455 GNS327454:GNS327455 GDW327454:GDW327455 FUA327454:FUA327455 FKE327454:FKE327455 FAI327454:FAI327455 EQM327454:EQM327455 EGQ327454:EGQ327455 DWU327454:DWU327455 DMY327454:DMY327455 DDC327454:DDC327455 CTG327454:CTG327455 CJK327454:CJK327455 BZO327454:BZO327455 BPS327454:BPS327455 BFW327454:BFW327455 AWA327454:AWA327455 AME327454:AME327455 ACI327454:ACI327455 SM327454:SM327455 IQ327454:IQ327455 WVC261918:WVC261919 WLG261918:WLG261919 WBK261918:WBK261919 VRO261918:VRO261919 VHS261918:VHS261919 UXW261918:UXW261919 UOA261918:UOA261919 UEE261918:UEE261919 TUI261918:TUI261919 TKM261918:TKM261919 TAQ261918:TAQ261919 SQU261918:SQU261919 SGY261918:SGY261919 RXC261918:RXC261919 RNG261918:RNG261919 RDK261918:RDK261919 QTO261918:QTO261919 QJS261918:QJS261919 PZW261918:PZW261919 PQA261918:PQA261919 PGE261918:PGE261919 OWI261918:OWI261919 OMM261918:OMM261919 OCQ261918:OCQ261919 NSU261918:NSU261919 NIY261918:NIY261919 MZC261918:MZC261919 MPG261918:MPG261919 MFK261918:MFK261919 LVO261918:LVO261919 LLS261918:LLS261919 LBW261918:LBW261919 KSA261918:KSA261919 KIE261918:KIE261919 JYI261918:JYI261919 JOM261918:JOM261919 JEQ261918:JEQ261919 IUU261918:IUU261919 IKY261918:IKY261919 IBC261918:IBC261919 HRG261918:HRG261919 HHK261918:HHK261919 GXO261918:GXO261919 GNS261918:GNS261919 GDW261918:GDW261919 FUA261918:FUA261919 FKE261918:FKE261919 FAI261918:FAI261919 EQM261918:EQM261919 EGQ261918:EGQ261919 DWU261918:DWU261919 DMY261918:DMY261919 DDC261918:DDC261919 CTG261918:CTG261919 CJK261918:CJK261919 BZO261918:BZO261919 BPS261918:BPS261919 BFW261918:BFW261919 AWA261918:AWA261919 AME261918:AME261919 ACI261918:ACI261919 SM261918:SM261919 IQ261918:IQ261919 WVC196382:WVC196383 WLG196382:WLG196383 WBK196382:WBK196383 VRO196382:VRO196383 VHS196382:VHS196383 UXW196382:UXW196383 UOA196382:UOA196383 UEE196382:UEE196383 TUI196382:TUI196383 TKM196382:TKM196383 TAQ196382:TAQ196383 SQU196382:SQU196383 SGY196382:SGY196383 RXC196382:RXC196383 RNG196382:RNG196383 RDK196382:RDK196383 QTO196382:QTO196383 QJS196382:QJS196383 PZW196382:PZW196383 PQA196382:PQA196383 PGE196382:PGE196383 OWI196382:OWI196383 OMM196382:OMM196383 OCQ196382:OCQ196383 NSU196382:NSU196383 NIY196382:NIY196383 MZC196382:MZC196383 MPG196382:MPG196383 MFK196382:MFK196383 LVO196382:LVO196383 LLS196382:LLS196383 LBW196382:LBW196383 KSA196382:KSA196383 KIE196382:KIE196383 JYI196382:JYI196383 JOM196382:JOM196383 JEQ196382:JEQ196383 IUU196382:IUU196383 IKY196382:IKY196383 IBC196382:IBC196383 HRG196382:HRG196383 HHK196382:HHK196383 GXO196382:GXO196383 GNS196382:GNS196383 GDW196382:GDW196383 FUA196382:FUA196383 FKE196382:FKE196383 FAI196382:FAI196383 EQM196382:EQM196383 EGQ196382:EGQ196383 DWU196382:DWU196383 DMY196382:DMY196383 DDC196382:DDC196383 CTG196382:CTG196383 CJK196382:CJK196383 BZO196382:BZO196383 BPS196382:BPS196383 BFW196382:BFW196383 AWA196382:AWA196383 AME196382:AME196383 ACI196382:ACI196383 SM196382:SM196383 IQ196382:IQ196383 WVC130846:WVC130847 WLG130846:WLG130847 WBK130846:WBK130847 VRO130846:VRO130847 VHS130846:VHS130847 UXW130846:UXW130847 UOA130846:UOA130847 UEE130846:UEE130847 TUI130846:TUI130847 TKM130846:TKM130847 TAQ130846:TAQ130847 SQU130846:SQU130847 SGY130846:SGY130847 RXC130846:RXC130847 RNG130846:RNG130847 RDK130846:RDK130847 QTO130846:QTO130847 QJS130846:QJS130847 PZW130846:PZW130847 PQA130846:PQA130847 PGE130846:PGE130847 OWI130846:OWI130847 OMM130846:OMM130847 OCQ130846:OCQ130847 NSU130846:NSU130847 NIY130846:NIY130847 MZC130846:MZC130847 MPG130846:MPG130847 MFK130846:MFK130847 LVO130846:LVO130847 LLS130846:LLS130847 LBW130846:LBW130847 KSA130846:KSA130847 KIE130846:KIE130847 JYI130846:JYI130847 JOM130846:JOM130847 JEQ130846:JEQ130847 IUU130846:IUU130847 IKY130846:IKY130847 IBC130846:IBC130847 HRG130846:HRG130847 HHK130846:HHK130847 GXO130846:GXO130847 GNS130846:GNS130847 GDW130846:GDW130847 FUA130846:FUA130847 FKE130846:FKE130847 FAI130846:FAI130847 EQM130846:EQM130847 EGQ130846:EGQ130847 DWU130846:DWU130847 DMY130846:DMY130847 DDC130846:DDC130847 CTG130846:CTG130847 CJK130846:CJK130847 BZO130846:BZO130847 BPS130846:BPS130847 BFW130846:BFW130847 AWA130846:AWA130847 AME130846:AME130847 ACI130846:ACI130847 SM130846:SM130847 IQ130846:IQ130847 WVC65310:WVC65311 WLG65310:WLG65311 WBK65310:WBK65311 VRO65310:VRO65311 VHS65310:VHS65311 UXW65310:UXW65311 UOA65310:UOA65311 UEE65310:UEE65311 TUI65310:TUI65311 TKM65310:TKM65311 TAQ65310:TAQ65311 SQU65310:SQU65311 SGY65310:SGY65311 RXC65310:RXC65311 RNG65310:RNG65311 RDK65310:RDK65311 QTO65310:QTO65311 QJS65310:QJS65311 PZW65310:PZW65311 PQA65310:PQA65311 PGE65310:PGE65311 OWI65310:OWI65311 OMM65310:OMM65311 OCQ65310:OCQ65311 NSU65310:NSU65311 NIY65310:NIY65311 MZC65310:MZC65311 MPG65310:MPG65311 MFK65310:MFK65311 LVO65310:LVO65311 LLS65310:LLS65311 LBW65310:LBW65311 KSA65310:KSA65311 KIE65310:KIE65311 JYI65310:JYI65311 JOM65310:JOM65311 JEQ65310:JEQ65311 IUU65310:IUU65311 IKY65310:IKY65311 IBC65310:IBC65311 HRG65310:HRG65311 HHK65310:HHK65311 GXO65310:GXO65311 GNS65310:GNS65311 GDW65310:GDW65311 FUA65310:FUA65311 FKE65310:FKE65311 FAI65310:FAI65311 EQM65310:EQM65311 EGQ65310:EGQ65311 DWU65310:DWU65311 DMY65310:DMY65311 DDC65310:DDC65311 CTG65310:CTG65311 CJK65310:CJK65311 BZO65310:BZO65311 BPS65310:BPS65311 BFW65310:BFW65311 AWA65310:AWA65311 AME65310:AME65311 ACI65310:ACI65311 SM65310:SM65311 IQ65310:IQ65311 UXV982785 WLF982785 E65258:E65347 E130794:E130883 E196330:E196419 E261866:E261955 E327402:E327491 E392938:E393027 E458474:E458563 E524010:E524099 E589546:E589635 E655082:E655171 E720618:E720707 E786154:E786243 E851690:E851779 E917226:E917315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7"/>
  <sheetViews>
    <sheetView workbookViewId="0">
      <selection activeCell="K20" sqref="K20"/>
    </sheetView>
  </sheetViews>
  <sheetFormatPr defaultRowHeight="15"/>
  <cols>
    <col min="2" max="2" width="14.7109375" customWidth="1"/>
  </cols>
  <sheetData>
    <row r="1" spans="2:9" ht="15.75" thickBot="1"/>
    <row r="2" spans="2:9" ht="16.5" thickTop="1" thickBot="1">
      <c r="B2" s="203" t="s">
        <v>306</v>
      </c>
      <c r="C2" s="204" t="s">
        <v>307</v>
      </c>
      <c r="D2" s="203" t="s">
        <v>308</v>
      </c>
      <c r="E2" s="203" t="s">
        <v>309</v>
      </c>
      <c r="F2" s="203" t="s">
        <v>310</v>
      </c>
      <c r="G2" s="203" t="s">
        <v>311</v>
      </c>
      <c r="H2" s="203" t="s">
        <v>312</v>
      </c>
      <c r="I2" s="203" t="s">
        <v>313</v>
      </c>
    </row>
    <row r="3" spans="2:9" ht="23.25" thickTop="1">
      <c r="B3" s="205" t="s">
        <v>314</v>
      </c>
      <c r="C3" s="205">
        <v>3</v>
      </c>
      <c r="D3" s="205" t="s">
        <v>315</v>
      </c>
      <c r="E3" s="205" t="s">
        <v>316</v>
      </c>
      <c r="F3" s="205">
        <v>4</v>
      </c>
      <c r="G3" s="205">
        <v>44</v>
      </c>
      <c r="H3" s="205">
        <v>4</v>
      </c>
      <c r="I3" s="205">
        <v>4</v>
      </c>
    </row>
    <row r="4" spans="2:9">
      <c r="B4" s="206" t="s">
        <v>317</v>
      </c>
      <c r="C4" s="206">
        <v>3.5</v>
      </c>
      <c r="D4" s="206" t="s">
        <v>318</v>
      </c>
      <c r="E4" s="206" t="s">
        <v>319</v>
      </c>
      <c r="F4" s="206" t="s">
        <v>319</v>
      </c>
      <c r="G4" s="206" t="s">
        <v>319</v>
      </c>
      <c r="H4" s="206" t="s">
        <v>320</v>
      </c>
      <c r="I4" s="206">
        <v>5</v>
      </c>
    </row>
    <row r="5" spans="2:9" ht="22.5">
      <c r="B5" s="205" t="s">
        <v>321</v>
      </c>
      <c r="C5" s="205">
        <v>4</v>
      </c>
      <c r="D5" s="205" t="s">
        <v>322</v>
      </c>
      <c r="E5" s="205" t="s">
        <v>323</v>
      </c>
      <c r="F5" s="205" t="s">
        <v>324</v>
      </c>
      <c r="G5" s="205">
        <v>46.5</v>
      </c>
      <c r="H5" s="205">
        <v>7</v>
      </c>
      <c r="I5" s="205">
        <v>7</v>
      </c>
    </row>
    <row r="6" spans="2:9" ht="22.5">
      <c r="B6" s="206" t="s">
        <v>325</v>
      </c>
      <c r="C6" s="206">
        <v>4.5</v>
      </c>
      <c r="D6" s="206" t="s">
        <v>326</v>
      </c>
      <c r="E6" s="206" t="s">
        <v>327</v>
      </c>
      <c r="F6" s="206">
        <v>8</v>
      </c>
      <c r="G6" s="206">
        <v>48</v>
      </c>
      <c r="H6" s="206">
        <v>8</v>
      </c>
      <c r="I6" s="206">
        <v>8</v>
      </c>
    </row>
    <row r="7" spans="2:9" ht="22.5">
      <c r="B7" s="205" t="s">
        <v>328</v>
      </c>
      <c r="C7" s="205">
        <v>5</v>
      </c>
      <c r="D7" s="205" t="s">
        <v>329</v>
      </c>
      <c r="E7" s="205" t="s">
        <v>330</v>
      </c>
      <c r="F7" s="205" t="s">
        <v>331</v>
      </c>
      <c r="G7" s="205">
        <v>49.5</v>
      </c>
      <c r="H7" s="205">
        <v>9</v>
      </c>
      <c r="I7" s="205">
        <v>9</v>
      </c>
    </row>
    <row r="8" spans="2:9" ht="22.5">
      <c r="B8" s="206" t="s">
        <v>332</v>
      </c>
      <c r="C8" s="206">
        <v>5.5</v>
      </c>
      <c r="D8" s="206" t="s">
        <v>333</v>
      </c>
      <c r="E8" s="206" t="s">
        <v>334</v>
      </c>
      <c r="F8" s="206" t="s">
        <v>335</v>
      </c>
      <c r="G8" s="206">
        <v>50.5</v>
      </c>
      <c r="H8" s="206">
        <v>10</v>
      </c>
      <c r="I8" s="206">
        <v>10</v>
      </c>
    </row>
    <row r="9" spans="2:9" ht="22.5">
      <c r="B9" s="205" t="s">
        <v>336</v>
      </c>
      <c r="C9" s="205">
        <v>6</v>
      </c>
      <c r="D9" s="205" t="s">
        <v>337</v>
      </c>
      <c r="E9" s="205" t="s">
        <v>338</v>
      </c>
      <c r="F9" s="205">
        <v>12</v>
      </c>
      <c r="G9" s="205">
        <v>52</v>
      </c>
      <c r="H9" s="205">
        <v>11</v>
      </c>
      <c r="I9" s="205">
        <v>11</v>
      </c>
    </row>
    <row r="10" spans="2:9" ht="22.5">
      <c r="B10" s="206" t="s">
        <v>339</v>
      </c>
      <c r="C10" s="206">
        <v>6.5</v>
      </c>
      <c r="D10" s="206" t="s">
        <v>340</v>
      </c>
      <c r="E10" s="206" t="s">
        <v>341</v>
      </c>
      <c r="F10" s="206" t="s">
        <v>342</v>
      </c>
      <c r="G10" s="206">
        <v>53</v>
      </c>
      <c r="H10" s="206" t="s">
        <v>343</v>
      </c>
      <c r="I10" s="206">
        <v>13</v>
      </c>
    </row>
    <row r="11" spans="2:9" ht="22.5">
      <c r="B11" s="205" t="s">
        <v>344</v>
      </c>
      <c r="C11" s="205">
        <v>7</v>
      </c>
      <c r="D11" s="205" t="s">
        <v>345</v>
      </c>
      <c r="E11" s="205" t="s">
        <v>346</v>
      </c>
      <c r="F11" s="205" t="s">
        <v>347</v>
      </c>
      <c r="G11" s="205">
        <v>54.5</v>
      </c>
      <c r="H11" s="205">
        <v>14</v>
      </c>
      <c r="I11" s="205">
        <v>14</v>
      </c>
    </row>
    <row r="12" spans="2:9" ht="22.5">
      <c r="B12" s="206" t="s">
        <v>348</v>
      </c>
      <c r="C12" s="206">
        <v>7.5</v>
      </c>
      <c r="D12" s="206" t="s">
        <v>349</v>
      </c>
      <c r="E12" s="206" t="s">
        <v>350</v>
      </c>
      <c r="F12" s="206">
        <v>16</v>
      </c>
      <c r="G12" s="206">
        <v>55.5</v>
      </c>
      <c r="H12" s="206">
        <v>15</v>
      </c>
      <c r="I12" s="206">
        <v>15</v>
      </c>
    </row>
    <row r="13" spans="2:9" ht="22.5">
      <c r="B13" s="205" t="s">
        <v>351</v>
      </c>
      <c r="C13" s="205">
        <v>8</v>
      </c>
      <c r="D13" s="205" t="s">
        <v>352</v>
      </c>
      <c r="E13" s="205" t="s">
        <v>353</v>
      </c>
      <c r="F13" s="205">
        <v>17</v>
      </c>
      <c r="G13" s="205">
        <v>57</v>
      </c>
      <c r="H13" s="205">
        <v>16</v>
      </c>
      <c r="I13" s="205">
        <v>16</v>
      </c>
    </row>
    <row r="14" spans="2:9" ht="22.5">
      <c r="B14" s="206" t="s">
        <v>354</v>
      </c>
      <c r="C14" s="206">
        <v>8.5</v>
      </c>
      <c r="D14" s="206" t="s">
        <v>355</v>
      </c>
      <c r="E14" s="206" t="s">
        <v>356</v>
      </c>
      <c r="F14" s="206" t="s">
        <v>357</v>
      </c>
      <c r="G14" s="206">
        <v>58</v>
      </c>
      <c r="H14" s="206" t="s">
        <v>358</v>
      </c>
      <c r="I14" s="206">
        <v>17</v>
      </c>
    </row>
    <row r="15" spans="2:9" ht="22.5">
      <c r="B15" s="205" t="s">
        <v>359</v>
      </c>
      <c r="C15" s="205">
        <v>9</v>
      </c>
      <c r="D15" s="205" t="s">
        <v>360</v>
      </c>
      <c r="E15" s="205" t="s">
        <v>361</v>
      </c>
      <c r="F15" s="205">
        <v>20</v>
      </c>
      <c r="G15" s="205">
        <v>59.5</v>
      </c>
      <c r="H15" s="205">
        <v>19</v>
      </c>
      <c r="I15" s="205">
        <v>18</v>
      </c>
    </row>
    <row r="16" spans="2:9" ht="22.5">
      <c r="B16" s="206" t="s">
        <v>362</v>
      </c>
      <c r="C16" s="206">
        <v>9.5</v>
      </c>
      <c r="D16" s="206" t="s">
        <v>363</v>
      </c>
      <c r="E16" s="206" t="s">
        <v>364</v>
      </c>
      <c r="F16" s="206">
        <v>21</v>
      </c>
      <c r="G16" s="206">
        <v>61</v>
      </c>
      <c r="H16" s="206">
        <v>20</v>
      </c>
      <c r="I16" s="206">
        <v>19</v>
      </c>
    </row>
    <row r="17" spans="2:9" ht="22.5">
      <c r="B17" s="205" t="s">
        <v>365</v>
      </c>
      <c r="C17" s="205">
        <v>10</v>
      </c>
      <c r="D17" s="205" t="s">
        <v>366</v>
      </c>
      <c r="E17" s="205" t="s">
        <v>367</v>
      </c>
      <c r="F17" s="205" t="s">
        <v>368</v>
      </c>
      <c r="G17" s="205">
        <v>62</v>
      </c>
      <c r="H17" s="205" t="s">
        <v>369</v>
      </c>
      <c r="I17" s="205">
        <v>20</v>
      </c>
    </row>
    <row r="18" spans="2:9" ht="22.5">
      <c r="B18" s="206" t="s">
        <v>370</v>
      </c>
      <c r="C18" s="206">
        <v>10.5</v>
      </c>
      <c r="D18" s="206" t="s">
        <v>371</v>
      </c>
      <c r="E18" s="206" t="s">
        <v>372</v>
      </c>
      <c r="F18" s="206" t="s">
        <v>373</v>
      </c>
      <c r="G18" s="206">
        <v>63.5</v>
      </c>
      <c r="H18" s="206">
        <v>23</v>
      </c>
      <c r="I18" s="206">
        <v>22</v>
      </c>
    </row>
    <row r="19" spans="2:9" ht="22.5">
      <c r="B19" s="205" t="s">
        <v>374</v>
      </c>
      <c r="C19" s="205">
        <v>11</v>
      </c>
      <c r="D19" s="205" t="s">
        <v>375</v>
      </c>
      <c r="E19" s="205" t="s">
        <v>376</v>
      </c>
      <c r="F19" s="205">
        <v>25</v>
      </c>
      <c r="G19" s="205">
        <v>64.5</v>
      </c>
      <c r="H19" s="205">
        <v>24</v>
      </c>
      <c r="I19" s="205">
        <v>23</v>
      </c>
    </row>
    <row r="20" spans="2:9" ht="22.5">
      <c r="B20" s="206" t="s">
        <v>377</v>
      </c>
      <c r="C20" s="206">
        <v>11.5</v>
      </c>
      <c r="D20" s="206" t="s">
        <v>378</v>
      </c>
      <c r="E20" s="206" t="s">
        <v>379</v>
      </c>
      <c r="F20" s="206">
        <v>26</v>
      </c>
      <c r="G20" s="206">
        <v>66</v>
      </c>
      <c r="H20" s="206">
        <v>25</v>
      </c>
      <c r="I20" s="206">
        <v>24</v>
      </c>
    </row>
    <row r="21" spans="2:9" ht="22.5">
      <c r="B21" s="205" t="s">
        <v>380</v>
      </c>
      <c r="C21" s="205">
        <v>12</v>
      </c>
      <c r="D21" s="205" t="s">
        <v>381</v>
      </c>
      <c r="E21" s="205" t="s">
        <v>382</v>
      </c>
      <c r="F21" s="205" t="s">
        <v>383</v>
      </c>
      <c r="G21" s="205">
        <v>67</v>
      </c>
      <c r="H21" s="205" t="s">
        <v>384</v>
      </c>
      <c r="I21" s="205">
        <v>25</v>
      </c>
    </row>
    <row r="22" spans="2:9" ht="22.5">
      <c r="B22" s="206" t="s">
        <v>385</v>
      </c>
      <c r="C22" s="206">
        <v>12.5</v>
      </c>
      <c r="D22" s="206" t="s">
        <v>386</v>
      </c>
      <c r="E22" s="206" t="s">
        <v>387</v>
      </c>
      <c r="F22" s="206">
        <v>29</v>
      </c>
      <c r="G22" s="206">
        <v>68.5</v>
      </c>
      <c r="H22" s="206">
        <v>28</v>
      </c>
      <c r="I22" s="206">
        <v>26</v>
      </c>
    </row>
    <row r="23" spans="2:9" ht="22.5">
      <c r="B23" s="205" t="s">
        <v>388</v>
      </c>
      <c r="C23" s="205">
        <v>13</v>
      </c>
      <c r="D23" s="205" t="s">
        <v>389</v>
      </c>
      <c r="E23" s="205" t="s">
        <v>390</v>
      </c>
      <c r="F23" s="205">
        <v>30</v>
      </c>
      <c r="G23" s="205">
        <v>69.5</v>
      </c>
      <c r="H23" s="205" t="s">
        <v>391</v>
      </c>
      <c r="I23" s="205">
        <v>27</v>
      </c>
    </row>
    <row r="24" spans="2:9" ht="22.5">
      <c r="B24" s="206" t="s">
        <v>392</v>
      </c>
      <c r="C24" s="206">
        <v>13.5</v>
      </c>
      <c r="D24" s="206" t="s">
        <v>393</v>
      </c>
      <c r="E24" s="206" t="s">
        <v>394</v>
      </c>
      <c r="F24" s="206">
        <v>32</v>
      </c>
      <c r="G24" s="206">
        <v>71</v>
      </c>
      <c r="H24" s="206">
        <v>32</v>
      </c>
      <c r="I24" s="206" t="s">
        <v>319</v>
      </c>
    </row>
    <row r="25" spans="2:9" ht="22.5">
      <c r="B25" s="205" t="s">
        <v>395</v>
      </c>
      <c r="C25" s="205">
        <v>14</v>
      </c>
      <c r="D25" s="205" t="s">
        <v>396</v>
      </c>
      <c r="E25" s="205" t="s">
        <v>397</v>
      </c>
      <c r="F25" s="205">
        <v>33</v>
      </c>
      <c r="G25" s="205">
        <v>72.5</v>
      </c>
      <c r="H25" s="205">
        <v>33</v>
      </c>
      <c r="I25" s="205" t="s">
        <v>319</v>
      </c>
    </row>
    <row r="26" spans="2:9" ht="22.5">
      <c r="B26" s="206" t="s">
        <v>398</v>
      </c>
      <c r="C26" s="206">
        <v>14.5</v>
      </c>
      <c r="D26" s="206" t="s">
        <v>399</v>
      </c>
      <c r="E26" s="206" t="s">
        <v>400</v>
      </c>
      <c r="F26" s="206" t="s">
        <v>401</v>
      </c>
      <c r="G26" s="206">
        <v>73.5</v>
      </c>
      <c r="H26" s="206" t="s">
        <v>319</v>
      </c>
      <c r="I26" s="206" t="s">
        <v>319</v>
      </c>
    </row>
    <row r="27" spans="2:9">
      <c r="B27" s="205"/>
      <c r="C27" s="205">
        <v>15</v>
      </c>
      <c r="D27" s="205" t="s">
        <v>402</v>
      </c>
      <c r="E27" s="205" t="s">
        <v>319</v>
      </c>
      <c r="F27" s="205">
        <v>35</v>
      </c>
      <c r="G27" s="205">
        <v>75</v>
      </c>
      <c r="H27" s="205">
        <v>35</v>
      </c>
      <c r="I27" s="205" t="s">
        <v>319</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7"/>
  <sheetViews>
    <sheetView workbookViewId="0">
      <selection activeCell="L29" sqref="L29"/>
    </sheetView>
  </sheetViews>
  <sheetFormatPr defaultRowHeight="15"/>
  <cols>
    <col min="1" max="1" width="24.85546875" style="7" bestFit="1" customWidth="1"/>
    <col min="2" max="2" width="16.42578125" style="7" customWidth="1"/>
    <col min="3" max="3" width="16.28515625" style="7" customWidth="1"/>
    <col min="4" max="4" width="16.85546875" bestFit="1" customWidth="1"/>
    <col min="5" max="5" width="13.85546875" bestFit="1" customWidth="1"/>
    <col min="7" max="7" width="14.28515625" bestFit="1" customWidth="1"/>
    <col min="8" max="8" width="7.140625" bestFit="1" customWidth="1"/>
    <col min="11" max="11" width="8.5703125" customWidth="1"/>
    <col min="14" max="14" width="13.140625" customWidth="1"/>
    <col min="16" max="16" width="24.85546875" bestFit="1" customWidth="1"/>
    <col min="18" max="18" width="19.28515625" customWidth="1"/>
  </cols>
  <sheetData>
    <row r="1" spans="1:18">
      <c r="A1" s="557" t="s">
        <v>36</v>
      </c>
      <c r="B1" s="558"/>
      <c r="D1" s="561" t="s">
        <v>105</v>
      </c>
      <c r="E1" s="562"/>
      <c r="G1" s="561" t="s">
        <v>153</v>
      </c>
      <c r="H1" s="562"/>
      <c r="J1" s="561" t="s">
        <v>33</v>
      </c>
      <c r="K1" s="562"/>
      <c r="M1" s="561" t="s">
        <v>154</v>
      </c>
      <c r="N1" s="562"/>
      <c r="P1" s="561" t="s">
        <v>403</v>
      </c>
      <c r="R1" s="555" t="s">
        <v>35</v>
      </c>
    </row>
    <row r="2" spans="1:18" ht="15.75" thickBot="1">
      <c r="A2" s="559"/>
      <c r="B2" s="560"/>
      <c r="D2" s="563"/>
      <c r="E2" s="564"/>
      <c r="G2" s="563"/>
      <c r="H2" s="564"/>
      <c r="J2" s="563"/>
      <c r="K2" s="564"/>
      <c r="M2" s="563"/>
      <c r="N2" s="564"/>
      <c r="P2" s="563"/>
      <c r="R2" s="556"/>
    </row>
    <row r="3" spans="1:18" ht="15.75" thickBot="1">
      <c r="A3" s="460" t="s">
        <v>37</v>
      </c>
      <c r="B3" s="461" t="s">
        <v>22</v>
      </c>
      <c r="D3" s="131" t="s">
        <v>37</v>
      </c>
      <c r="E3" s="131" t="s">
        <v>22</v>
      </c>
      <c r="G3" s="131" t="s">
        <v>37</v>
      </c>
      <c r="H3" s="131" t="s">
        <v>22</v>
      </c>
      <c r="J3" s="131" t="s">
        <v>37</v>
      </c>
      <c r="K3" s="131" t="s">
        <v>22</v>
      </c>
      <c r="M3" s="131" t="s">
        <v>37</v>
      </c>
      <c r="N3" s="131" t="s">
        <v>22</v>
      </c>
      <c r="P3" s="131" t="s">
        <v>37</v>
      </c>
      <c r="R3" s="131" t="s">
        <v>37</v>
      </c>
    </row>
    <row r="4" spans="1:18">
      <c r="A4" s="462" t="s">
        <v>404</v>
      </c>
      <c r="B4" s="463"/>
      <c r="D4" s="132"/>
      <c r="E4" s="133"/>
      <c r="G4" s="349"/>
      <c r="H4" s="350"/>
      <c r="J4" s="411">
        <v>1</v>
      </c>
      <c r="K4" s="412"/>
      <c r="M4" s="401" t="s">
        <v>404</v>
      </c>
      <c r="N4" s="424"/>
      <c r="P4" s="401">
        <v>4</v>
      </c>
      <c r="R4" s="442">
        <v>1.5</v>
      </c>
    </row>
    <row r="5" spans="1:18">
      <c r="A5" s="462" t="s">
        <v>164</v>
      </c>
      <c r="B5" s="463"/>
      <c r="D5" s="401" t="s">
        <v>405</v>
      </c>
      <c r="E5" s="402"/>
      <c r="G5" s="401" t="s">
        <v>156</v>
      </c>
      <c r="H5" s="402"/>
      <c r="J5" s="411">
        <v>1.1000000000000001</v>
      </c>
      <c r="K5" s="412"/>
      <c r="M5" s="401" t="s">
        <v>164</v>
      </c>
      <c r="N5" s="428"/>
      <c r="P5" s="401">
        <v>6</v>
      </c>
      <c r="R5" s="427">
        <v>1.75</v>
      </c>
    </row>
    <row r="6" spans="1:18">
      <c r="A6" s="462" t="s">
        <v>25</v>
      </c>
      <c r="B6" s="463"/>
      <c r="D6" s="401" t="s">
        <v>406</v>
      </c>
      <c r="E6" s="402"/>
      <c r="G6" s="401" t="s">
        <v>407</v>
      </c>
      <c r="H6" s="402"/>
      <c r="J6" s="411">
        <v>1.2</v>
      </c>
      <c r="K6" s="412"/>
      <c r="M6" s="401" t="s">
        <v>25</v>
      </c>
      <c r="N6" s="428"/>
      <c r="P6" s="401">
        <v>7</v>
      </c>
      <c r="R6" s="427">
        <v>2</v>
      </c>
    </row>
    <row r="7" spans="1:18">
      <c r="A7" s="462" t="s">
        <v>408</v>
      </c>
      <c r="B7" s="463"/>
      <c r="D7" s="401" t="s">
        <v>409</v>
      </c>
      <c r="E7" s="402"/>
      <c r="G7" s="401" t="s">
        <v>221</v>
      </c>
      <c r="H7" s="402"/>
      <c r="J7" s="411">
        <v>1.3</v>
      </c>
      <c r="K7" s="412"/>
      <c r="M7" s="401" t="s">
        <v>408</v>
      </c>
      <c r="N7" s="428"/>
      <c r="P7" s="401">
        <v>8</v>
      </c>
      <c r="R7" s="442">
        <v>2.25</v>
      </c>
    </row>
    <row r="8" spans="1:18">
      <c r="A8" s="462" t="s">
        <v>410</v>
      </c>
      <c r="B8" s="463"/>
      <c r="D8" s="401" t="s">
        <v>141</v>
      </c>
      <c r="E8" s="402"/>
      <c r="G8" s="401" t="s">
        <v>411</v>
      </c>
      <c r="H8" s="402"/>
      <c r="J8" s="415">
        <v>1.4</v>
      </c>
      <c r="K8" s="402"/>
      <c r="M8" s="401" t="s">
        <v>410</v>
      </c>
      <c r="N8" s="428"/>
      <c r="P8" s="401">
        <v>9</v>
      </c>
      <c r="R8" s="442">
        <v>2.5</v>
      </c>
    </row>
    <row r="9" spans="1:18">
      <c r="A9" s="462" t="s">
        <v>412</v>
      </c>
      <c r="B9" s="463"/>
      <c r="D9" s="401" t="s">
        <v>413</v>
      </c>
      <c r="E9" s="402"/>
      <c r="G9" s="401" t="s">
        <v>414</v>
      </c>
      <c r="H9" s="402"/>
      <c r="J9" s="415">
        <v>1.5</v>
      </c>
      <c r="K9" s="402"/>
      <c r="M9" s="401" t="s">
        <v>412</v>
      </c>
      <c r="N9" s="428"/>
      <c r="P9" s="401">
        <v>10</v>
      </c>
      <c r="R9" s="442">
        <v>3</v>
      </c>
    </row>
    <row r="10" spans="1:18">
      <c r="A10" s="462" t="s">
        <v>415</v>
      </c>
      <c r="B10" s="463"/>
      <c r="D10" s="401" t="s">
        <v>416</v>
      </c>
      <c r="E10" s="402"/>
      <c r="G10" s="401" t="s">
        <v>163</v>
      </c>
      <c r="H10" s="402"/>
      <c r="J10" s="415">
        <v>1.6</v>
      </c>
      <c r="K10" s="402"/>
      <c r="M10" s="401" t="s">
        <v>415</v>
      </c>
      <c r="N10" s="428"/>
      <c r="P10" s="401">
        <v>11</v>
      </c>
      <c r="R10" s="442">
        <v>4</v>
      </c>
    </row>
    <row r="11" spans="1:18" ht="15.75" thickBot="1">
      <c r="A11" s="464" t="s">
        <v>167</v>
      </c>
      <c r="B11" s="465"/>
      <c r="D11" s="401" t="s">
        <v>417</v>
      </c>
      <c r="E11" s="402"/>
      <c r="G11" s="401" t="s">
        <v>165</v>
      </c>
      <c r="H11" s="402"/>
      <c r="J11" s="415">
        <v>1.7</v>
      </c>
      <c r="K11" s="402"/>
      <c r="M11" s="405" t="s">
        <v>167</v>
      </c>
      <c r="N11" s="428"/>
      <c r="P11" s="405">
        <v>12</v>
      </c>
    </row>
    <row r="12" spans="1:18" ht="18.75">
      <c r="A12" s="375"/>
      <c r="B12" s="375"/>
      <c r="C12" s="375"/>
      <c r="G12" s="405" t="s">
        <v>167</v>
      </c>
      <c r="H12" s="406"/>
      <c r="J12" s="415">
        <v>1.8</v>
      </c>
      <c r="K12" s="402"/>
      <c r="M12" s="430" t="s">
        <v>297</v>
      </c>
      <c r="N12" s="428"/>
    </row>
    <row r="13" spans="1:18" ht="15" customHeight="1">
      <c r="J13" s="415">
        <v>1.9</v>
      </c>
      <c r="K13" s="402"/>
      <c r="M13" s="427" t="s">
        <v>298</v>
      </c>
      <c r="N13" s="428"/>
    </row>
    <row r="14" spans="1:18" ht="15.75" customHeight="1">
      <c r="J14" s="415">
        <v>2</v>
      </c>
      <c r="K14" s="402"/>
      <c r="M14" s="427" t="s">
        <v>299</v>
      </c>
      <c r="N14" s="428"/>
    </row>
    <row r="15" spans="1:18">
      <c r="M15" s="427" t="s">
        <v>300</v>
      </c>
      <c r="N15" s="428"/>
    </row>
    <row r="16" spans="1:18">
      <c r="M16" s="431" t="s">
        <v>303</v>
      </c>
      <c r="N16" s="432"/>
    </row>
    <row r="18" spans="1:7" ht="15.75" thickBot="1"/>
    <row r="19" spans="1:7">
      <c r="A19" s="555" t="s">
        <v>418</v>
      </c>
      <c r="C19" s="555" t="s">
        <v>419</v>
      </c>
      <c r="E19" s="555" t="s">
        <v>420</v>
      </c>
      <c r="G19" s="561" t="s">
        <v>421</v>
      </c>
    </row>
    <row r="20" spans="1:7" ht="15.75" thickBot="1">
      <c r="A20" s="556"/>
      <c r="C20" s="556"/>
      <c r="E20" s="556"/>
      <c r="G20" s="563"/>
    </row>
    <row r="21" spans="1:7" ht="15.75" thickBot="1">
      <c r="A21" s="131" t="s">
        <v>37</v>
      </c>
      <c r="C21" s="131" t="s">
        <v>37</v>
      </c>
      <c r="E21" s="455" t="s">
        <v>37</v>
      </c>
      <c r="G21" s="131" t="s">
        <v>37</v>
      </c>
    </row>
    <row r="22" spans="1:7">
      <c r="A22" s="442" t="s">
        <v>422</v>
      </c>
      <c r="C22" s="442" t="s">
        <v>164</v>
      </c>
      <c r="E22" s="456" t="s">
        <v>65</v>
      </c>
      <c r="G22" s="442" t="s">
        <v>423</v>
      </c>
    </row>
    <row r="23" spans="1:7">
      <c r="A23" s="427" t="s">
        <v>424</v>
      </c>
      <c r="C23" s="427" t="s">
        <v>25</v>
      </c>
      <c r="E23" s="457" t="s">
        <v>405</v>
      </c>
      <c r="G23" s="454" t="s">
        <v>425</v>
      </c>
    </row>
    <row r="24" spans="1:7">
      <c r="A24" s="427" t="s">
        <v>412</v>
      </c>
      <c r="E24" s="457" t="s">
        <v>426</v>
      </c>
      <c r="G24" s="428" t="s">
        <v>427</v>
      </c>
    </row>
    <row r="25" spans="1:7" ht="15" customHeight="1">
      <c r="A25" s="442" t="s">
        <v>428</v>
      </c>
      <c r="E25" s="458" t="s">
        <v>429</v>
      </c>
      <c r="G25" s="453"/>
    </row>
    <row r="26" spans="1:7" ht="15.75" customHeight="1">
      <c r="E26" s="457" t="s">
        <v>406</v>
      </c>
    </row>
    <row r="27" spans="1:7">
      <c r="E27" s="458" t="s">
        <v>141</v>
      </c>
    </row>
    <row r="28" spans="1:7" ht="15.75" thickBot="1">
      <c r="E28" s="459" t="s">
        <v>416</v>
      </c>
    </row>
    <row r="30" spans="1:7" ht="15.75" thickBot="1"/>
    <row r="31" spans="1:7" ht="18.75">
      <c r="B31" s="377" t="s">
        <v>430</v>
      </c>
      <c r="C31" s="378" t="s">
        <v>431</v>
      </c>
      <c r="D31" s="379" t="s">
        <v>432</v>
      </c>
    </row>
    <row r="32" spans="1:7" ht="18.75">
      <c r="B32" s="380" t="s">
        <v>433</v>
      </c>
      <c r="C32" s="376" t="s">
        <v>434</v>
      </c>
      <c r="D32" s="381" t="s">
        <v>435</v>
      </c>
    </row>
    <row r="33" spans="2:4" ht="18.75">
      <c r="B33" s="380" t="s">
        <v>436</v>
      </c>
      <c r="C33" s="376" t="s">
        <v>437</v>
      </c>
      <c r="D33" s="381" t="s">
        <v>438</v>
      </c>
    </row>
    <row r="34" spans="2:4" ht="18.75">
      <c r="B34" s="380" t="s">
        <v>439</v>
      </c>
      <c r="C34" s="376" t="s">
        <v>440</v>
      </c>
      <c r="D34" s="381" t="s">
        <v>436</v>
      </c>
    </row>
    <row r="35" spans="2:4" ht="18.75">
      <c r="B35" s="380" t="s">
        <v>441</v>
      </c>
      <c r="C35" s="376" t="s">
        <v>442</v>
      </c>
      <c r="D35" s="381"/>
    </row>
    <row r="36" spans="2:4" ht="18.75">
      <c r="B36" s="380" t="s">
        <v>443</v>
      </c>
      <c r="C36" s="376" t="s">
        <v>444</v>
      </c>
      <c r="D36" s="381"/>
    </row>
    <row r="37" spans="2:4" ht="19.5" customHeight="1">
      <c r="B37" s="380" t="s">
        <v>445</v>
      </c>
      <c r="C37" s="376" t="s">
        <v>446</v>
      </c>
      <c r="D37" s="381"/>
    </row>
    <row r="38" spans="2:4" ht="18.75">
      <c r="B38" s="380" t="s">
        <v>447</v>
      </c>
      <c r="C38" s="376"/>
      <c r="D38" s="381"/>
    </row>
    <row r="39" spans="2:4" ht="19.5" thickBot="1">
      <c r="B39" s="382" t="s">
        <v>448</v>
      </c>
      <c r="C39" s="383"/>
      <c r="D39" s="384"/>
    </row>
    <row r="42" spans="2:4" ht="15" customHeight="1"/>
    <row r="43" spans="2:4" ht="15.75" customHeight="1"/>
    <row r="77" ht="22.5" customHeight="1"/>
  </sheetData>
  <sortState xmlns:xlrd2="http://schemas.microsoft.com/office/spreadsheetml/2017/richdata2" ref="D32:D34">
    <sortCondition ref="D4"/>
  </sortState>
  <mergeCells count="11">
    <mergeCell ref="M1:N2"/>
    <mergeCell ref="J1:K2"/>
    <mergeCell ref="P1:P2"/>
    <mergeCell ref="R1:R2"/>
    <mergeCell ref="G19:G20"/>
    <mergeCell ref="G1:H2"/>
    <mergeCell ref="A19:A20"/>
    <mergeCell ref="C19:C20"/>
    <mergeCell ref="E19:E20"/>
    <mergeCell ref="A1:B2"/>
    <mergeCell ref="D1:E2"/>
  </mergeCells>
  <conditionalFormatting sqref="B38:B39">
    <cfRule type="duplicateValues" dxfId="7" priority="1"/>
  </conditionalFormatting>
  <conditionalFormatting sqref="J1 C1:C2 C52:C60 C66:C76 C86:C1048576 D31:D39 C12:C30 C40:C49">
    <cfRule type="duplicateValues" dxfId="6" priority="3"/>
  </conditionalFormatting>
  <conditionalFormatting sqref="A86:A1048576 B31:B39 A76 G19:G25 A68 A19:A25 A60 R1:R10 A49 P1:P11 A37 G3:G12 A1 A3:A12 G1">
    <cfRule type="duplicateValues" dxfId="5" priority="6"/>
  </conditionalFormatting>
  <conditionalFormatting sqref="B3:B12 H3:H12 B24 B40:B76 B86:B1048576 C31:C39">
    <cfRule type="duplicateValues" dxfId="4" priority="12"/>
  </conditionalFormatting>
  <pageMargins left="0.7" right="0.7" top="0.75" bottom="0.75" header="0.3" footer="0.3"/>
  <pageSetup paperSize="256" orientation="portrait" horizontalDpi="203" verticalDpi="20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topLeftCell="B1" zoomScale="80" zoomScaleNormal="80" workbookViewId="0">
      <selection activeCell="B33" sqref="B33"/>
    </sheetView>
  </sheetViews>
  <sheetFormatPr defaultRowHeight="15.75"/>
  <cols>
    <col min="2" max="2" width="19.140625" customWidth="1"/>
    <col min="3" max="3" width="19.42578125" customWidth="1"/>
    <col min="4" max="5" width="12.28515625" customWidth="1"/>
    <col min="6" max="6" width="38.140625" customWidth="1"/>
    <col min="7" max="7" width="2.5703125" customWidth="1"/>
    <col min="8" max="8" width="13.5703125" customWidth="1"/>
    <col min="9" max="9" width="9" customWidth="1"/>
    <col min="10" max="10" width="12.42578125" customWidth="1"/>
    <col min="11" max="11" width="23.28515625" customWidth="1"/>
    <col min="12" max="12" width="23.7109375" style="386" customWidth="1"/>
    <col min="13" max="13" width="22.7109375" style="386" customWidth="1"/>
    <col min="14" max="14" width="22.140625" style="386" customWidth="1"/>
    <col min="15" max="15" width="18.7109375" style="386" customWidth="1"/>
    <col min="16" max="16" width="17.28515625" style="386" customWidth="1"/>
    <col min="17" max="17" width="17.7109375" style="386" customWidth="1"/>
  </cols>
  <sheetData>
    <row r="1" spans="1:17" ht="27.75" thickBot="1">
      <c r="A1" s="575" t="s">
        <v>449</v>
      </c>
      <c r="B1" s="576"/>
      <c r="C1" s="576"/>
      <c r="D1" s="576"/>
      <c r="E1" s="577"/>
      <c r="F1" s="578"/>
      <c r="L1" s="568"/>
      <c r="M1" s="568"/>
      <c r="N1" s="568"/>
      <c r="O1" s="568"/>
      <c r="P1" s="568"/>
      <c r="Q1" s="568"/>
    </row>
    <row r="2" spans="1:17" ht="24" customHeight="1" thickBot="1">
      <c r="A2" s="161" t="s">
        <v>450</v>
      </c>
      <c r="B2" s="162" t="s">
        <v>451</v>
      </c>
      <c r="C2" s="163" t="s">
        <v>452</v>
      </c>
      <c r="D2" s="164" t="s">
        <v>307</v>
      </c>
      <c r="E2" s="207" t="s">
        <v>308</v>
      </c>
      <c r="F2" s="165" t="s">
        <v>453</v>
      </c>
      <c r="L2" s="569" t="s">
        <v>454</v>
      </c>
      <c r="M2" s="570"/>
      <c r="N2" s="570"/>
      <c r="O2" s="570"/>
      <c r="P2" s="570"/>
      <c r="Q2" s="571"/>
    </row>
    <row r="3" spans="1:17" ht="20.100000000000001" customHeight="1" thickBot="1">
      <c r="A3" s="166">
        <v>1</v>
      </c>
      <c r="B3" s="167">
        <v>1</v>
      </c>
      <c r="C3" s="168">
        <v>13</v>
      </c>
      <c r="D3" s="169">
        <v>1</v>
      </c>
      <c r="E3" s="208"/>
      <c r="F3" s="170">
        <v>41</v>
      </c>
      <c r="L3" s="393" t="s">
        <v>455</v>
      </c>
      <c r="M3" s="394" t="s">
        <v>456</v>
      </c>
      <c r="N3" s="395" t="s">
        <v>457</v>
      </c>
      <c r="O3" s="394" t="s">
        <v>458</v>
      </c>
      <c r="P3" s="396" t="s">
        <v>459</v>
      </c>
      <c r="Q3" s="397" t="s">
        <v>460</v>
      </c>
    </row>
    <row r="4" spans="1:17" ht="20.100000000000001" customHeight="1">
      <c r="A4" s="171">
        <v>2</v>
      </c>
      <c r="B4" s="172">
        <v>2</v>
      </c>
      <c r="C4" s="173">
        <v>13.4</v>
      </c>
      <c r="D4" s="174">
        <v>2</v>
      </c>
      <c r="E4" s="209"/>
      <c r="F4" s="175">
        <v>42</v>
      </c>
      <c r="L4" s="392" t="s">
        <v>461</v>
      </c>
      <c r="M4" s="392" t="s">
        <v>462</v>
      </c>
      <c r="N4" s="392" t="s">
        <v>463</v>
      </c>
      <c r="O4" s="392" t="s">
        <v>463</v>
      </c>
      <c r="P4" s="398" t="s">
        <v>463</v>
      </c>
      <c r="Q4" s="392" t="s">
        <v>463</v>
      </c>
    </row>
    <row r="5" spans="1:17" ht="20.100000000000001" customHeight="1">
      <c r="A5" s="171">
        <v>3</v>
      </c>
      <c r="B5" s="172">
        <v>3</v>
      </c>
      <c r="C5" s="173">
        <v>13.7</v>
      </c>
      <c r="D5" s="174" t="s">
        <v>464</v>
      </c>
      <c r="E5" s="209"/>
      <c r="F5" s="175">
        <v>43</v>
      </c>
      <c r="L5" s="389">
        <v>1</v>
      </c>
      <c r="M5" s="385" t="s">
        <v>465</v>
      </c>
      <c r="N5" s="385" t="s">
        <v>463</v>
      </c>
      <c r="O5" s="385" t="s">
        <v>463</v>
      </c>
      <c r="P5" s="399">
        <v>1</v>
      </c>
      <c r="Q5" s="385" t="s">
        <v>463</v>
      </c>
    </row>
    <row r="6" spans="1:17" ht="20.100000000000001" customHeight="1">
      <c r="A6" s="171">
        <v>4</v>
      </c>
      <c r="B6" s="172">
        <v>4</v>
      </c>
      <c r="C6" s="173">
        <v>14</v>
      </c>
      <c r="D6" s="174">
        <v>3</v>
      </c>
      <c r="E6" s="209"/>
      <c r="F6" s="175">
        <v>44</v>
      </c>
      <c r="L6" s="385" t="s">
        <v>466</v>
      </c>
      <c r="M6" s="385" t="s">
        <v>467</v>
      </c>
      <c r="N6" s="385" t="s">
        <v>463</v>
      </c>
      <c r="O6" s="385" t="s">
        <v>463</v>
      </c>
      <c r="P6" s="400" t="s">
        <v>463</v>
      </c>
      <c r="Q6" s="385" t="s">
        <v>463</v>
      </c>
    </row>
    <row r="7" spans="1:17" ht="20.100000000000001" customHeight="1">
      <c r="A7" s="171">
        <v>5</v>
      </c>
      <c r="B7" s="172">
        <v>5</v>
      </c>
      <c r="C7" s="173">
        <v>14.3</v>
      </c>
      <c r="D7" s="174" t="s">
        <v>468</v>
      </c>
      <c r="E7" s="209"/>
      <c r="F7" s="175">
        <v>45</v>
      </c>
      <c r="L7" s="389">
        <v>2</v>
      </c>
      <c r="M7" s="385" t="s">
        <v>469</v>
      </c>
      <c r="N7" s="385" t="s">
        <v>470</v>
      </c>
      <c r="O7" s="385" t="s">
        <v>471</v>
      </c>
      <c r="P7" s="399">
        <v>2</v>
      </c>
      <c r="Q7" s="385" t="s">
        <v>466</v>
      </c>
    </row>
    <row r="8" spans="1:17" ht="20.100000000000001" customHeight="1" thickBot="1">
      <c r="A8" s="171">
        <v>6</v>
      </c>
      <c r="B8" s="172">
        <v>6</v>
      </c>
      <c r="C8" s="173">
        <v>14.6</v>
      </c>
      <c r="D8" s="174" t="s">
        <v>472</v>
      </c>
      <c r="E8" s="209"/>
      <c r="F8" s="175">
        <v>46</v>
      </c>
      <c r="L8" s="385" t="s">
        <v>473</v>
      </c>
      <c r="M8" s="390" t="s">
        <v>474</v>
      </c>
      <c r="N8" s="385" t="s">
        <v>475</v>
      </c>
      <c r="O8" s="385" t="s">
        <v>476</v>
      </c>
      <c r="P8" s="400" t="s">
        <v>463</v>
      </c>
      <c r="Q8" s="385" t="s">
        <v>463</v>
      </c>
    </row>
    <row r="9" spans="1:17" ht="20.100000000000001" customHeight="1">
      <c r="A9" s="171">
        <v>7</v>
      </c>
      <c r="B9" s="172">
        <v>7</v>
      </c>
      <c r="C9" s="173">
        <v>15</v>
      </c>
      <c r="D9" s="174">
        <v>4</v>
      </c>
      <c r="E9" s="209"/>
      <c r="F9" s="175">
        <v>47</v>
      </c>
      <c r="H9" s="179" t="s">
        <v>477</v>
      </c>
      <c r="I9" s="180">
        <v>52.3</v>
      </c>
      <c r="L9" s="385" t="s">
        <v>478</v>
      </c>
      <c r="M9" s="385" t="s">
        <v>479</v>
      </c>
      <c r="N9" s="385" t="s">
        <v>480</v>
      </c>
      <c r="O9" s="385" t="s">
        <v>481</v>
      </c>
      <c r="P9" s="399">
        <v>3</v>
      </c>
      <c r="Q9" s="385" t="s">
        <v>482</v>
      </c>
    </row>
    <row r="10" spans="1:17" ht="20.100000000000001" customHeight="1">
      <c r="A10" s="171">
        <v>8</v>
      </c>
      <c r="B10" s="172">
        <v>8</v>
      </c>
      <c r="C10" s="173">
        <v>15.3</v>
      </c>
      <c r="D10" s="174" t="s">
        <v>483</v>
      </c>
      <c r="E10" s="209"/>
      <c r="F10" s="175">
        <v>48</v>
      </c>
      <c r="H10" s="181" t="s">
        <v>484</v>
      </c>
      <c r="I10" s="182">
        <v>53.9</v>
      </c>
      <c r="L10" s="385" t="s">
        <v>482</v>
      </c>
      <c r="M10" s="390" t="s">
        <v>485</v>
      </c>
      <c r="N10" s="385" t="s">
        <v>486</v>
      </c>
      <c r="O10" s="385" t="s">
        <v>463</v>
      </c>
      <c r="P10" s="400" t="s">
        <v>463</v>
      </c>
      <c r="Q10" s="385" t="s">
        <v>487</v>
      </c>
    </row>
    <row r="11" spans="1:17" ht="20.100000000000001" customHeight="1">
      <c r="A11" s="171">
        <v>9</v>
      </c>
      <c r="B11" s="172">
        <v>9</v>
      </c>
      <c r="C11" s="173">
        <v>15.6</v>
      </c>
      <c r="D11" s="174">
        <v>5</v>
      </c>
      <c r="E11" s="209"/>
      <c r="F11" s="175">
        <v>49</v>
      </c>
      <c r="H11" s="183" t="s">
        <v>488</v>
      </c>
      <c r="I11" s="184">
        <v>55.5</v>
      </c>
      <c r="L11" s="389">
        <v>3</v>
      </c>
      <c r="M11" s="385" t="s">
        <v>315</v>
      </c>
      <c r="N11" s="389">
        <v>44</v>
      </c>
      <c r="O11" s="389">
        <v>14</v>
      </c>
      <c r="P11" s="399">
        <v>4</v>
      </c>
      <c r="Q11" s="389">
        <v>4</v>
      </c>
    </row>
    <row r="12" spans="1:17" ht="20.100000000000001" customHeight="1">
      <c r="A12" s="171">
        <v>10</v>
      </c>
      <c r="B12" s="172">
        <v>10</v>
      </c>
      <c r="C12" s="173">
        <v>15.9</v>
      </c>
      <c r="D12" s="174" t="s">
        <v>489</v>
      </c>
      <c r="E12" s="209"/>
      <c r="F12" s="175">
        <v>50</v>
      </c>
      <c r="H12" s="181" t="s">
        <v>490</v>
      </c>
      <c r="I12" s="182">
        <v>57.1</v>
      </c>
      <c r="L12" s="385" t="s">
        <v>491</v>
      </c>
      <c r="M12" s="390" t="s">
        <v>492</v>
      </c>
      <c r="N12" s="385" t="s">
        <v>493</v>
      </c>
      <c r="O12" s="385" t="s">
        <v>494</v>
      </c>
      <c r="P12" s="400" t="s">
        <v>463</v>
      </c>
      <c r="Q12" s="385" t="s">
        <v>495</v>
      </c>
    </row>
    <row r="13" spans="1:17" ht="20.100000000000001" customHeight="1">
      <c r="A13" s="171">
        <v>11</v>
      </c>
      <c r="B13" s="172">
        <v>11</v>
      </c>
      <c r="C13" s="176">
        <v>16.2</v>
      </c>
      <c r="D13" s="177" t="s">
        <v>496</v>
      </c>
      <c r="E13" s="210"/>
      <c r="F13" s="178">
        <v>51</v>
      </c>
      <c r="H13" s="183" t="s">
        <v>497</v>
      </c>
      <c r="I13" s="184">
        <v>58.7</v>
      </c>
      <c r="L13" s="385" t="s">
        <v>498</v>
      </c>
      <c r="M13" s="385" t="s">
        <v>318</v>
      </c>
      <c r="N13" s="385" t="s">
        <v>499</v>
      </c>
      <c r="O13" s="385" t="s">
        <v>500</v>
      </c>
      <c r="P13" s="399">
        <v>5</v>
      </c>
      <c r="Q13" s="385" t="s">
        <v>501</v>
      </c>
    </row>
    <row r="14" spans="1:17" ht="20.100000000000001" customHeight="1">
      <c r="A14" s="171">
        <v>12</v>
      </c>
      <c r="B14" s="172">
        <v>12</v>
      </c>
      <c r="C14" s="176">
        <v>16.5</v>
      </c>
      <c r="D14" s="177">
        <v>6</v>
      </c>
      <c r="E14" s="210" t="s">
        <v>337</v>
      </c>
      <c r="F14" s="178">
        <v>52</v>
      </c>
      <c r="H14" s="181" t="s">
        <v>502</v>
      </c>
      <c r="I14" s="182">
        <v>60.3</v>
      </c>
      <c r="L14" s="385" t="s">
        <v>503</v>
      </c>
      <c r="M14" s="390" t="s">
        <v>504</v>
      </c>
      <c r="N14" s="385" t="s">
        <v>505</v>
      </c>
      <c r="O14" s="385" t="s">
        <v>506</v>
      </c>
      <c r="P14" s="399">
        <v>6</v>
      </c>
      <c r="Q14" s="385" t="s">
        <v>507</v>
      </c>
    </row>
    <row r="15" spans="1:17" ht="20.100000000000001" customHeight="1">
      <c r="A15" s="171">
        <v>13</v>
      </c>
      <c r="B15" s="172">
        <v>13</v>
      </c>
      <c r="C15" s="176">
        <v>16.8</v>
      </c>
      <c r="D15" s="177" t="s">
        <v>508</v>
      </c>
      <c r="E15" s="210" t="s">
        <v>340</v>
      </c>
      <c r="F15" s="178">
        <v>53</v>
      </c>
      <c r="H15" s="183" t="s">
        <v>509</v>
      </c>
      <c r="I15" s="184">
        <v>61.9</v>
      </c>
      <c r="L15" s="389">
        <v>4</v>
      </c>
      <c r="M15" s="385" t="s">
        <v>322</v>
      </c>
      <c r="N15" s="385" t="s">
        <v>510</v>
      </c>
      <c r="O15" s="389">
        <v>15</v>
      </c>
      <c r="P15" s="399">
        <v>7</v>
      </c>
      <c r="Q15" s="385" t="s">
        <v>511</v>
      </c>
    </row>
    <row r="16" spans="1:17" ht="20.100000000000001" customHeight="1">
      <c r="A16" s="171">
        <v>14</v>
      </c>
      <c r="B16" s="439">
        <v>14</v>
      </c>
      <c r="C16" s="440">
        <v>17.2</v>
      </c>
      <c r="D16" s="441">
        <v>7</v>
      </c>
      <c r="E16" s="210" t="s">
        <v>345</v>
      </c>
      <c r="F16" s="178">
        <v>54</v>
      </c>
      <c r="H16" s="181" t="s">
        <v>512</v>
      </c>
      <c r="I16" s="182">
        <v>63.5</v>
      </c>
      <c r="L16" s="385" t="s">
        <v>513</v>
      </c>
      <c r="M16" s="390" t="s">
        <v>514</v>
      </c>
      <c r="N16" s="385" t="s">
        <v>515</v>
      </c>
      <c r="O16" s="385" t="s">
        <v>463</v>
      </c>
      <c r="P16" s="400" t="s">
        <v>463</v>
      </c>
      <c r="Q16" s="385" t="s">
        <v>516</v>
      </c>
    </row>
    <row r="17" spans="1:17" ht="20.100000000000001" customHeight="1" thickBot="1">
      <c r="A17" s="171">
        <v>15</v>
      </c>
      <c r="B17" s="172">
        <v>15</v>
      </c>
      <c r="C17" s="176">
        <v>17.5</v>
      </c>
      <c r="D17" s="177" t="s">
        <v>517</v>
      </c>
      <c r="E17" s="210"/>
      <c r="F17" s="178">
        <v>55</v>
      </c>
      <c r="H17" s="188" t="s">
        <v>518</v>
      </c>
      <c r="I17" s="189">
        <v>65.099999999999994</v>
      </c>
      <c r="L17" s="385" t="s">
        <v>519</v>
      </c>
      <c r="M17" s="385" t="s">
        <v>326</v>
      </c>
      <c r="N17" s="385" t="s">
        <v>520</v>
      </c>
      <c r="O17" s="385" t="s">
        <v>521</v>
      </c>
      <c r="P17" s="399">
        <v>8</v>
      </c>
      <c r="Q17" s="385" t="s">
        <v>522</v>
      </c>
    </row>
    <row r="18" spans="1:17" ht="20.100000000000001" customHeight="1">
      <c r="A18" s="171">
        <v>16</v>
      </c>
      <c r="B18" s="172">
        <v>16</v>
      </c>
      <c r="C18" s="176">
        <v>17.8</v>
      </c>
      <c r="D18" s="177" t="s">
        <v>523</v>
      </c>
      <c r="E18" s="210" t="s">
        <v>349</v>
      </c>
      <c r="F18" s="178">
        <v>56</v>
      </c>
      <c r="L18" s="385" t="s">
        <v>524</v>
      </c>
      <c r="M18" s="385" t="s">
        <v>329</v>
      </c>
      <c r="N18" s="385" t="s">
        <v>525</v>
      </c>
      <c r="O18" s="385" t="s">
        <v>526</v>
      </c>
      <c r="P18" s="400" t="s">
        <v>463</v>
      </c>
      <c r="Q18" s="385" t="s">
        <v>527</v>
      </c>
    </row>
    <row r="19" spans="1:17" ht="20.100000000000001" customHeight="1">
      <c r="A19" s="171">
        <v>17</v>
      </c>
      <c r="B19" s="172">
        <v>17</v>
      </c>
      <c r="C19" s="176">
        <v>18.100000000000001</v>
      </c>
      <c r="D19" s="177">
        <v>8</v>
      </c>
      <c r="E19" s="210" t="s">
        <v>352</v>
      </c>
      <c r="F19" s="178">
        <v>57</v>
      </c>
      <c r="L19" s="389">
        <v>5</v>
      </c>
      <c r="M19" s="390" t="s">
        <v>528</v>
      </c>
      <c r="N19" s="389">
        <v>49</v>
      </c>
      <c r="O19" s="385" t="s">
        <v>529</v>
      </c>
      <c r="P19" s="399">
        <v>9</v>
      </c>
      <c r="Q19" s="389">
        <v>9</v>
      </c>
    </row>
    <row r="20" spans="1:17" ht="20.100000000000001" customHeight="1" thickBot="1">
      <c r="A20" s="171">
        <v>18</v>
      </c>
      <c r="B20" s="172">
        <v>18</v>
      </c>
      <c r="C20" s="176">
        <v>18.399999999999999</v>
      </c>
      <c r="D20" s="177" t="s">
        <v>530</v>
      </c>
      <c r="E20" s="210"/>
      <c r="F20" s="178">
        <v>58</v>
      </c>
      <c r="L20" s="385" t="s">
        <v>501</v>
      </c>
      <c r="M20" s="385" t="s">
        <v>333</v>
      </c>
      <c r="N20" s="385" t="s">
        <v>531</v>
      </c>
      <c r="O20" s="389">
        <v>16</v>
      </c>
      <c r="P20" s="400" t="s">
        <v>463</v>
      </c>
      <c r="Q20" s="385" t="s">
        <v>532</v>
      </c>
    </row>
    <row r="21" spans="1:17" ht="20.100000000000001" customHeight="1">
      <c r="A21" s="171">
        <v>19</v>
      </c>
      <c r="B21" s="172">
        <v>19</v>
      </c>
      <c r="C21" s="176">
        <v>18.8</v>
      </c>
      <c r="D21" s="177" t="s">
        <v>533</v>
      </c>
      <c r="E21" s="210"/>
      <c r="F21" s="178">
        <v>59</v>
      </c>
      <c r="H21" s="565" t="s">
        <v>534</v>
      </c>
      <c r="I21" s="566"/>
      <c r="J21" s="567"/>
      <c r="L21" s="385" t="s">
        <v>535</v>
      </c>
      <c r="M21" s="390" t="s">
        <v>536</v>
      </c>
      <c r="N21" s="385" t="s">
        <v>537</v>
      </c>
      <c r="O21" s="385" t="s">
        <v>538</v>
      </c>
      <c r="P21" s="399">
        <v>10</v>
      </c>
      <c r="Q21" s="385" t="s">
        <v>539</v>
      </c>
    </row>
    <row r="22" spans="1:17" ht="20.100000000000001" customHeight="1">
      <c r="A22" s="171">
        <v>20</v>
      </c>
      <c r="B22" s="439">
        <v>20</v>
      </c>
      <c r="C22" s="440">
        <v>19.100000000000001</v>
      </c>
      <c r="D22" s="441">
        <v>9</v>
      </c>
      <c r="E22" s="210"/>
      <c r="F22" s="178">
        <v>60</v>
      </c>
      <c r="H22" s="579" t="s">
        <v>540</v>
      </c>
      <c r="I22" s="580"/>
      <c r="J22" s="581"/>
      <c r="L22" s="385" t="s">
        <v>541</v>
      </c>
      <c r="M22" s="385" t="s">
        <v>337</v>
      </c>
      <c r="N22" s="385" t="s">
        <v>542</v>
      </c>
      <c r="O22" s="385" t="s">
        <v>463</v>
      </c>
      <c r="P22" s="399">
        <v>11</v>
      </c>
      <c r="Q22" s="385" t="s">
        <v>543</v>
      </c>
    </row>
    <row r="23" spans="1:17" ht="20.100000000000001" customHeight="1">
      <c r="A23" s="171">
        <v>21</v>
      </c>
      <c r="B23" s="172">
        <v>21</v>
      </c>
      <c r="C23" s="185">
        <v>19.399999999999999</v>
      </c>
      <c r="D23" s="186" t="s">
        <v>544</v>
      </c>
      <c r="E23" s="211"/>
      <c r="F23" s="187">
        <v>61</v>
      </c>
      <c r="H23" s="579" t="s">
        <v>545</v>
      </c>
      <c r="I23" s="580"/>
      <c r="J23" s="581"/>
      <c r="L23" s="389">
        <v>6</v>
      </c>
      <c r="M23" s="390" t="s">
        <v>546</v>
      </c>
      <c r="N23" s="385" t="s">
        <v>547</v>
      </c>
      <c r="O23" s="385" t="s">
        <v>548</v>
      </c>
      <c r="P23" s="399">
        <v>12</v>
      </c>
      <c r="Q23" s="385" t="s">
        <v>549</v>
      </c>
    </row>
    <row r="24" spans="1:17" ht="20.100000000000001" customHeight="1">
      <c r="A24" s="171">
        <v>22</v>
      </c>
      <c r="B24" s="172">
        <v>22</v>
      </c>
      <c r="C24" s="185">
        <v>19.7</v>
      </c>
      <c r="D24" s="186">
        <v>10</v>
      </c>
      <c r="E24" s="211"/>
      <c r="F24" s="187">
        <v>62</v>
      </c>
      <c r="H24" s="579" t="s">
        <v>550</v>
      </c>
      <c r="I24" s="580"/>
      <c r="J24" s="581"/>
      <c r="L24" s="385" t="s">
        <v>551</v>
      </c>
      <c r="M24" s="385" t="s">
        <v>340</v>
      </c>
      <c r="N24" s="385" t="s">
        <v>552</v>
      </c>
      <c r="O24" s="385" t="s">
        <v>553</v>
      </c>
      <c r="P24" s="400" t="s">
        <v>463</v>
      </c>
      <c r="Q24" s="385" t="s">
        <v>554</v>
      </c>
    </row>
    <row r="25" spans="1:17" ht="20.100000000000001" customHeight="1" thickBot="1">
      <c r="A25" s="171">
        <v>23</v>
      </c>
      <c r="B25" s="172">
        <v>23</v>
      </c>
      <c r="C25" s="185">
        <v>20</v>
      </c>
      <c r="D25" s="186" t="s">
        <v>555</v>
      </c>
      <c r="E25" s="211"/>
      <c r="F25" s="187">
        <v>63</v>
      </c>
      <c r="H25" s="572" t="s">
        <v>556</v>
      </c>
      <c r="I25" s="573"/>
      <c r="J25" s="574"/>
      <c r="L25" s="385" t="s">
        <v>511</v>
      </c>
      <c r="M25" s="390" t="s">
        <v>557</v>
      </c>
      <c r="N25" s="385" t="s">
        <v>558</v>
      </c>
      <c r="O25" s="389">
        <v>17</v>
      </c>
      <c r="P25" s="399">
        <v>13</v>
      </c>
      <c r="Q25" s="385" t="s">
        <v>559</v>
      </c>
    </row>
    <row r="26" spans="1:17" ht="20.100000000000001" customHeight="1">
      <c r="A26" s="171">
        <v>24</v>
      </c>
      <c r="B26" s="172">
        <v>24</v>
      </c>
      <c r="C26" s="185">
        <v>20.3</v>
      </c>
      <c r="D26" s="186" t="s">
        <v>560</v>
      </c>
      <c r="E26" s="211"/>
      <c r="F26" s="187">
        <v>64</v>
      </c>
      <c r="H26" s="565" t="s">
        <v>561</v>
      </c>
      <c r="I26" s="566"/>
      <c r="J26" s="567"/>
      <c r="L26" s="385" t="s">
        <v>562</v>
      </c>
      <c r="M26" s="385" t="s">
        <v>345</v>
      </c>
      <c r="N26" s="385" t="s">
        <v>563</v>
      </c>
      <c r="O26" s="385" t="s">
        <v>463</v>
      </c>
      <c r="P26" s="400" t="s">
        <v>463</v>
      </c>
      <c r="Q26" s="385" t="s">
        <v>564</v>
      </c>
    </row>
    <row r="27" spans="1:17" ht="20.100000000000001" customHeight="1">
      <c r="A27" s="171">
        <v>25</v>
      </c>
      <c r="B27" s="172">
        <v>25</v>
      </c>
      <c r="C27" s="185">
        <v>20.6</v>
      </c>
      <c r="D27" s="186">
        <v>11</v>
      </c>
      <c r="E27" s="211"/>
      <c r="F27" s="187">
        <v>65</v>
      </c>
      <c r="L27" s="387">
        <v>7</v>
      </c>
      <c r="M27" s="388" t="s">
        <v>349</v>
      </c>
      <c r="N27" s="387">
        <v>54</v>
      </c>
      <c r="O27" s="388" t="s">
        <v>565</v>
      </c>
      <c r="P27" s="387">
        <v>14</v>
      </c>
      <c r="Q27" s="387">
        <v>14</v>
      </c>
    </row>
    <row r="28" spans="1:17" ht="20.100000000000001" customHeight="1">
      <c r="A28" s="171">
        <v>26</v>
      </c>
      <c r="B28" s="172">
        <v>26</v>
      </c>
      <c r="C28" s="185">
        <v>21</v>
      </c>
      <c r="D28" s="186" t="s">
        <v>566</v>
      </c>
      <c r="E28" s="211"/>
      <c r="F28" s="187">
        <v>66</v>
      </c>
      <c r="H28" s="466" t="s">
        <v>567</v>
      </c>
      <c r="I28" s="466"/>
      <c r="J28" s="466"/>
      <c r="L28" s="385" t="s">
        <v>568</v>
      </c>
      <c r="M28" s="390" t="s">
        <v>569</v>
      </c>
      <c r="N28" s="385" t="s">
        <v>570</v>
      </c>
      <c r="O28" s="385" t="s">
        <v>571</v>
      </c>
      <c r="P28" s="400" t="s">
        <v>463</v>
      </c>
      <c r="Q28" s="385" t="s">
        <v>572</v>
      </c>
    </row>
    <row r="29" spans="1:17" ht="20.100000000000001" customHeight="1">
      <c r="A29" s="171">
        <v>27</v>
      </c>
      <c r="B29" s="172">
        <v>27</v>
      </c>
      <c r="C29" s="185">
        <v>21.3</v>
      </c>
      <c r="D29" s="186">
        <v>12</v>
      </c>
      <c r="E29" s="211"/>
      <c r="F29" s="187">
        <v>67</v>
      </c>
      <c r="L29" s="385" t="s">
        <v>573</v>
      </c>
      <c r="M29" s="385" t="s">
        <v>352</v>
      </c>
      <c r="N29" s="385" t="s">
        <v>574</v>
      </c>
      <c r="O29" s="385" t="s">
        <v>575</v>
      </c>
      <c r="P29" s="399">
        <v>15</v>
      </c>
      <c r="Q29" s="385" t="s">
        <v>521</v>
      </c>
    </row>
    <row r="30" spans="1:17" ht="20.100000000000001" customHeight="1">
      <c r="A30" s="171">
        <v>28</v>
      </c>
      <c r="B30" s="172">
        <v>28</v>
      </c>
      <c r="C30" s="185">
        <v>21.6</v>
      </c>
      <c r="D30" s="186" t="s">
        <v>576</v>
      </c>
      <c r="E30" s="211"/>
      <c r="F30" s="187">
        <v>68</v>
      </c>
      <c r="H30" s="466" t="s">
        <v>577</v>
      </c>
      <c r="I30" s="466"/>
      <c r="J30" s="466"/>
      <c r="L30" s="385" t="s">
        <v>522</v>
      </c>
      <c r="M30" s="390" t="s">
        <v>578</v>
      </c>
      <c r="N30" s="385" t="s">
        <v>579</v>
      </c>
      <c r="O30" s="389">
        <v>18</v>
      </c>
      <c r="P30" s="400" t="s">
        <v>463</v>
      </c>
      <c r="Q30" s="385" t="s">
        <v>580</v>
      </c>
    </row>
    <row r="31" spans="1:17" ht="20.100000000000001" customHeight="1">
      <c r="A31" s="171">
        <v>29</v>
      </c>
      <c r="B31" s="172">
        <v>29</v>
      </c>
      <c r="C31" s="185">
        <v>22</v>
      </c>
      <c r="D31" s="186" t="s">
        <v>581</v>
      </c>
      <c r="E31" s="211"/>
      <c r="F31" s="187">
        <v>69</v>
      </c>
      <c r="L31" s="389">
        <v>8</v>
      </c>
      <c r="M31" s="385" t="s">
        <v>355</v>
      </c>
      <c r="N31" s="385" t="s">
        <v>582</v>
      </c>
      <c r="O31" s="385" t="s">
        <v>463</v>
      </c>
      <c r="P31" s="399">
        <v>16</v>
      </c>
      <c r="Q31" s="385" t="s">
        <v>548</v>
      </c>
    </row>
    <row r="32" spans="1:17" ht="20.100000000000001" customHeight="1">
      <c r="A32" s="171">
        <v>30</v>
      </c>
      <c r="B32" s="172">
        <v>30</v>
      </c>
      <c r="C32" s="185">
        <v>22.3</v>
      </c>
      <c r="D32" s="186">
        <v>13</v>
      </c>
      <c r="E32" s="211"/>
      <c r="F32" s="187">
        <v>70</v>
      </c>
      <c r="H32" s="466" t="s">
        <v>583</v>
      </c>
      <c r="I32" s="466"/>
      <c r="J32" s="466"/>
      <c r="L32" s="385" t="s">
        <v>584</v>
      </c>
      <c r="M32" s="390" t="s">
        <v>585</v>
      </c>
      <c r="N32" s="385" t="s">
        <v>586</v>
      </c>
      <c r="O32" s="385" t="s">
        <v>587</v>
      </c>
      <c r="P32" s="400" t="s">
        <v>463</v>
      </c>
      <c r="Q32" s="385" t="s">
        <v>588</v>
      </c>
    </row>
    <row r="33" spans="1:17" ht="20.100000000000001" customHeight="1">
      <c r="A33" s="171">
        <v>31</v>
      </c>
      <c r="B33" s="172">
        <v>31</v>
      </c>
      <c r="C33" s="190">
        <v>22.6</v>
      </c>
      <c r="D33" s="191" t="s">
        <v>589</v>
      </c>
      <c r="E33" s="212"/>
      <c r="F33" s="192">
        <v>71</v>
      </c>
      <c r="L33" s="385" t="s">
        <v>590</v>
      </c>
      <c r="M33" s="385" t="s">
        <v>360</v>
      </c>
      <c r="N33" s="385" t="s">
        <v>591</v>
      </c>
      <c r="O33" s="385" t="s">
        <v>592</v>
      </c>
      <c r="P33" s="399">
        <v>17</v>
      </c>
      <c r="Q33" s="385" t="s">
        <v>575</v>
      </c>
    </row>
    <row r="34" spans="1:17" ht="20.100000000000001" customHeight="1">
      <c r="A34" s="171">
        <v>32</v>
      </c>
      <c r="B34" s="172">
        <v>32</v>
      </c>
      <c r="C34" s="190">
        <v>22.9</v>
      </c>
      <c r="D34" s="191" t="s">
        <v>593</v>
      </c>
      <c r="E34" s="212"/>
      <c r="F34" s="192">
        <v>72</v>
      </c>
      <c r="H34" s="466" t="s">
        <v>594</v>
      </c>
      <c r="I34" s="466"/>
      <c r="J34" s="466"/>
      <c r="L34" s="385" t="s">
        <v>595</v>
      </c>
      <c r="M34" s="390" t="s">
        <v>596</v>
      </c>
      <c r="N34" s="385" t="s">
        <v>597</v>
      </c>
      <c r="O34" s="385" t="s">
        <v>598</v>
      </c>
      <c r="P34" s="400" t="s">
        <v>463</v>
      </c>
      <c r="Q34" s="385" t="s">
        <v>599</v>
      </c>
    </row>
    <row r="35" spans="1:17" ht="20.100000000000001" customHeight="1">
      <c r="A35" s="171">
        <v>33</v>
      </c>
      <c r="B35" s="172">
        <v>33</v>
      </c>
      <c r="C35" s="190">
        <v>23.2</v>
      </c>
      <c r="D35" s="191">
        <v>14</v>
      </c>
      <c r="E35" s="212"/>
      <c r="F35" s="192">
        <v>73</v>
      </c>
      <c r="L35" s="389">
        <v>9</v>
      </c>
      <c r="M35" s="385" t="s">
        <v>363</v>
      </c>
      <c r="N35" s="389">
        <v>59</v>
      </c>
      <c r="O35" s="389">
        <v>19</v>
      </c>
      <c r="P35" s="399">
        <v>18</v>
      </c>
      <c r="Q35" s="389">
        <v>19</v>
      </c>
    </row>
    <row r="36" spans="1:17" ht="20.100000000000001" customHeight="1">
      <c r="A36" s="171">
        <v>34</v>
      </c>
      <c r="B36" s="172">
        <v>34</v>
      </c>
      <c r="C36" s="190">
        <v>23.5</v>
      </c>
      <c r="D36" s="191" t="s">
        <v>600</v>
      </c>
      <c r="E36" s="212"/>
      <c r="F36" s="192">
        <v>74</v>
      </c>
      <c r="L36" s="385" t="s">
        <v>601</v>
      </c>
      <c r="M36" s="390" t="s">
        <v>602</v>
      </c>
      <c r="N36" s="385" t="s">
        <v>603</v>
      </c>
      <c r="O36" s="385" t="s">
        <v>604</v>
      </c>
      <c r="P36" s="400" t="s">
        <v>463</v>
      </c>
      <c r="Q36" s="385" t="s">
        <v>605</v>
      </c>
    </row>
    <row r="37" spans="1:17" ht="20.100000000000001" customHeight="1">
      <c r="A37" s="171">
        <v>35</v>
      </c>
      <c r="B37" s="172">
        <v>35</v>
      </c>
      <c r="C37" s="190">
        <v>23.9</v>
      </c>
      <c r="D37" s="191">
        <v>15</v>
      </c>
      <c r="E37" s="212"/>
      <c r="F37" s="192">
        <v>75</v>
      </c>
      <c r="L37" s="385" t="s">
        <v>606</v>
      </c>
      <c r="M37" s="385" t="s">
        <v>463</v>
      </c>
      <c r="N37" s="385" t="s">
        <v>607</v>
      </c>
      <c r="O37" s="385" t="s">
        <v>608</v>
      </c>
      <c r="P37" s="399">
        <v>19</v>
      </c>
      <c r="Q37" s="385" t="s">
        <v>609</v>
      </c>
    </row>
    <row r="38" spans="1:17" ht="20.100000000000001" customHeight="1" thickBot="1">
      <c r="A38" s="193">
        <v>36</v>
      </c>
      <c r="B38" s="194">
        <v>36</v>
      </c>
      <c r="C38" s="195">
        <v>24.2</v>
      </c>
      <c r="D38" s="196" t="s">
        <v>610</v>
      </c>
      <c r="E38" s="213"/>
      <c r="F38" s="197">
        <v>76</v>
      </c>
      <c r="L38" s="385" t="s">
        <v>611</v>
      </c>
      <c r="M38" s="385" t="s">
        <v>366</v>
      </c>
      <c r="N38" s="385" t="s">
        <v>612</v>
      </c>
      <c r="O38" s="385" t="s">
        <v>463</v>
      </c>
      <c r="P38" s="400" t="s">
        <v>463</v>
      </c>
      <c r="Q38" s="385" t="s">
        <v>613</v>
      </c>
    </row>
    <row r="39" spans="1:17">
      <c r="L39" s="387">
        <v>10</v>
      </c>
      <c r="M39" s="391" t="s">
        <v>614</v>
      </c>
      <c r="N39" s="388" t="s">
        <v>615</v>
      </c>
      <c r="O39" s="388" t="s">
        <v>616</v>
      </c>
      <c r="P39" s="399">
        <v>20</v>
      </c>
      <c r="Q39" s="388" t="s">
        <v>617</v>
      </c>
    </row>
    <row r="40" spans="1:17">
      <c r="L40" s="385" t="s">
        <v>539</v>
      </c>
      <c r="M40" s="385" t="s">
        <v>371</v>
      </c>
      <c r="N40" s="385" t="s">
        <v>618</v>
      </c>
      <c r="O40" s="389">
        <v>20</v>
      </c>
      <c r="P40" s="399">
        <v>21</v>
      </c>
      <c r="Q40" s="385" t="s">
        <v>619</v>
      </c>
    </row>
    <row r="41" spans="1:17">
      <c r="L41" s="385" t="s">
        <v>620</v>
      </c>
      <c r="M41" s="390" t="s">
        <v>621</v>
      </c>
      <c r="N41" s="385" t="s">
        <v>622</v>
      </c>
      <c r="O41" s="385" t="s">
        <v>463</v>
      </c>
      <c r="P41" s="399">
        <v>22</v>
      </c>
      <c r="Q41" s="385" t="s">
        <v>623</v>
      </c>
    </row>
    <row r="42" spans="1:17">
      <c r="L42" s="385" t="s">
        <v>624</v>
      </c>
      <c r="M42" s="385" t="s">
        <v>375</v>
      </c>
      <c r="N42" s="385" t="s">
        <v>625</v>
      </c>
      <c r="O42" s="385" t="s">
        <v>626</v>
      </c>
      <c r="P42" s="400" t="s">
        <v>463</v>
      </c>
      <c r="Q42" s="385" t="s">
        <v>627</v>
      </c>
    </row>
    <row r="43" spans="1:17">
      <c r="L43" s="389">
        <v>11</v>
      </c>
      <c r="M43" s="390" t="s">
        <v>628</v>
      </c>
      <c r="N43" s="389">
        <v>64</v>
      </c>
      <c r="O43" s="385" t="s">
        <v>629</v>
      </c>
      <c r="P43" s="399">
        <v>23</v>
      </c>
      <c r="Q43" s="389">
        <v>24</v>
      </c>
    </row>
    <row r="44" spans="1:17">
      <c r="L44" s="385" t="s">
        <v>630</v>
      </c>
      <c r="M44" s="385" t="s">
        <v>378</v>
      </c>
      <c r="N44" s="385" t="s">
        <v>631</v>
      </c>
      <c r="O44" s="385" t="s">
        <v>463</v>
      </c>
      <c r="P44" s="400" t="s">
        <v>463</v>
      </c>
      <c r="Q44" s="385" t="s">
        <v>632</v>
      </c>
    </row>
    <row r="45" spans="1:17">
      <c r="L45" s="385" t="s">
        <v>549</v>
      </c>
      <c r="M45" s="390" t="s">
        <v>633</v>
      </c>
      <c r="N45" s="385" t="s">
        <v>634</v>
      </c>
      <c r="O45" s="389">
        <v>21</v>
      </c>
      <c r="P45" s="399">
        <v>24</v>
      </c>
      <c r="Q45" s="385" t="s">
        <v>635</v>
      </c>
    </row>
    <row r="46" spans="1:17">
      <c r="L46" s="385" t="s">
        <v>636</v>
      </c>
      <c r="M46" s="385" t="s">
        <v>381</v>
      </c>
      <c r="N46" s="385" t="s">
        <v>637</v>
      </c>
      <c r="O46" s="385" t="s">
        <v>638</v>
      </c>
      <c r="P46" s="400" t="s">
        <v>463</v>
      </c>
      <c r="Q46" s="385" t="s">
        <v>639</v>
      </c>
    </row>
    <row r="47" spans="1:17">
      <c r="L47" s="389">
        <v>12</v>
      </c>
      <c r="M47" s="385" t="s">
        <v>386</v>
      </c>
      <c r="N47" s="385" t="s">
        <v>640</v>
      </c>
      <c r="O47" s="385" t="s">
        <v>617</v>
      </c>
      <c r="P47" s="399">
        <v>25</v>
      </c>
      <c r="Q47" s="385" t="s">
        <v>641</v>
      </c>
    </row>
    <row r="48" spans="1:17">
      <c r="L48" s="385" t="s">
        <v>642</v>
      </c>
      <c r="M48" s="390" t="s">
        <v>643</v>
      </c>
      <c r="N48" s="385" t="s">
        <v>644</v>
      </c>
      <c r="O48" s="385" t="s">
        <v>463</v>
      </c>
      <c r="P48" s="400" t="s">
        <v>463</v>
      </c>
      <c r="Q48" s="385" t="s">
        <v>645</v>
      </c>
    </row>
    <row r="49" spans="12:17">
      <c r="L49" s="385" t="s">
        <v>646</v>
      </c>
      <c r="M49" s="385" t="s">
        <v>389</v>
      </c>
      <c r="N49" s="385" t="s">
        <v>647</v>
      </c>
      <c r="O49" s="385" t="s">
        <v>648</v>
      </c>
      <c r="P49" s="399">
        <v>26</v>
      </c>
      <c r="Q49" s="385" t="s">
        <v>649</v>
      </c>
    </row>
    <row r="50" spans="12:17">
      <c r="L50" s="385" t="s">
        <v>559</v>
      </c>
      <c r="M50" s="390" t="s">
        <v>650</v>
      </c>
      <c r="N50" s="385" t="s">
        <v>651</v>
      </c>
      <c r="O50" s="385" t="s">
        <v>463</v>
      </c>
      <c r="P50" s="400" t="s">
        <v>463</v>
      </c>
      <c r="Q50" s="385" t="s">
        <v>652</v>
      </c>
    </row>
    <row r="51" spans="12:17">
      <c r="L51" s="389">
        <v>13</v>
      </c>
      <c r="M51" s="385" t="s">
        <v>463</v>
      </c>
      <c r="N51" s="389">
        <v>69</v>
      </c>
      <c r="O51" s="389">
        <v>22</v>
      </c>
      <c r="P51" s="399">
        <v>27</v>
      </c>
      <c r="Q51" s="389">
        <v>29</v>
      </c>
    </row>
  </sheetData>
  <mergeCells count="9">
    <mergeCell ref="H26:J26"/>
    <mergeCell ref="L1:Q1"/>
    <mergeCell ref="L2:Q2"/>
    <mergeCell ref="H25:J25"/>
    <mergeCell ref="A1:F1"/>
    <mergeCell ref="H21:J21"/>
    <mergeCell ref="H22:J22"/>
    <mergeCell ref="H23:J23"/>
    <mergeCell ref="H24:J24"/>
  </mergeCells>
  <pageMargins left="0.7" right="0.7" top="0.75" bottom="0.75" header="0.3" footer="0.3"/>
  <pageSetup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R30"/>
  <sheetViews>
    <sheetView zoomScale="130" zoomScaleNormal="130" workbookViewId="0">
      <selection activeCell="E24" sqref="E24"/>
    </sheetView>
  </sheetViews>
  <sheetFormatPr defaultRowHeight="15.75"/>
  <cols>
    <col min="1" max="1" width="9.140625" style="198"/>
    <col min="2" max="2" width="11.7109375" style="198" bestFit="1" customWidth="1"/>
    <col min="3" max="3" width="9.140625" style="198" customWidth="1"/>
    <col min="4" max="4" width="3.7109375" style="198" customWidth="1"/>
    <col min="5" max="5" width="12.7109375" style="198" customWidth="1"/>
    <col min="6" max="6" width="9.140625" style="198" customWidth="1"/>
    <col min="7" max="7" width="3.7109375" style="198" customWidth="1"/>
    <col min="8" max="8" width="22.5703125" style="198" bestFit="1" customWidth="1"/>
    <col min="9" max="9" width="9.140625" style="198"/>
    <col min="10" max="10" width="3.7109375" style="198" customWidth="1"/>
    <col min="11" max="11" width="18.7109375" style="198" bestFit="1" customWidth="1"/>
    <col min="12" max="12" width="9.140625" style="198"/>
    <col min="13" max="13" width="3.7109375" style="198" customWidth="1"/>
    <col min="14" max="14" width="14.28515625" style="198" bestFit="1" customWidth="1"/>
    <col min="15" max="16" width="9.140625" style="198"/>
    <col min="17" max="17" width="24.140625" style="198" customWidth="1"/>
    <col min="18" max="18" width="10.85546875" style="198" customWidth="1"/>
    <col min="19" max="16384" width="9.140625" style="198"/>
  </cols>
  <sheetData>
    <row r="2" spans="2:18">
      <c r="B2" s="216" t="s">
        <v>653</v>
      </c>
      <c r="C2" s="216" t="s">
        <v>654</v>
      </c>
      <c r="E2" s="216" t="s">
        <v>17</v>
      </c>
      <c r="F2" s="216" t="s">
        <v>654</v>
      </c>
      <c r="H2" s="216" t="s">
        <v>655</v>
      </c>
      <c r="I2" s="216" t="s">
        <v>654</v>
      </c>
      <c r="K2" s="216" t="s">
        <v>656</v>
      </c>
      <c r="L2" s="216" t="s">
        <v>654</v>
      </c>
      <c r="N2" s="216" t="s">
        <v>657</v>
      </c>
      <c r="O2" s="216" t="s">
        <v>654</v>
      </c>
      <c r="Q2" s="216" t="s">
        <v>658</v>
      </c>
      <c r="R2" s="216" t="s">
        <v>654</v>
      </c>
    </row>
    <row r="3" spans="2:18" ht="15.75" customHeight="1">
      <c r="B3" s="582" t="s">
        <v>659</v>
      </c>
      <c r="C3" s="583" t="s">
        <v>660</v>
      </c>
      <c r="E3" s="202" t="s">
        <v>33</v>
      </c>
      <c r="F3" s="202" t="s">
        <v>23</v>
      </c>
      <c r="H3" s="199" t="s">
        <v>661</v>
      </c>
      <c r="I3" s="199" t="s">
        <v>662</v>
      </c>
      <c r="K3" s="199" t="s">
        <v>663</v>
      </c>
      <c r="L3" s="199" t="s">
        <v>663</v>
      </c>
      <c r="N3" s="199" t="s">
        <v>664</v>
      </c>
      <c r="O3" s="200" t="s">
        <v>665</v>
      </c>
      <c r="Q3" s="217" t="s">
        <v>666</v>
      </c>
      <c r="R3" s="218" t="s">
        <v>667</v>
      </c>
    </row>
    <row r="4" spans="2:18" ht="21">
      <c r="B4" s="583"/>
      <c r="C4" s="583"/>
      <c r="E4" s="202" t="s">
        <v>153</v>
      </c>
      <c r="F4" s="202" t="s">
        <v>668</v>
      </c>
      <c r="H4" s="199" t="s">
        <v>669</v>
      </c>
      <c r="I4" s="199" t="s">
        <v>670</v>
      </c>
      <c r="K4" s="199" t="s">
        <v>671</v>
      </c>
      <c r="L4" s="199" t="s">
        <v>672</v>
      </c>
      <c r="N4" s="199" t="s">
        <v>673</v>
      </c>
      <c r="O4" s="199" t="s">
        <v>674</v>
      </c>
      <c r="Q4" s="217" t="s">
        <v>675</v>
      </c>
      <c r="R4" s="218" t="s">
        <v>676</v>
      </c>
    </row>
    <row r="5" spans="2:18" ht="15.75" customHeight="1">
      <c r="B5" s="582" t="s">
        <v>677</v>
      </c>
      <c r="C5" s="583" t="s">
        <v>467</v>
      </c>
      <c r="E5" s="202" t="s">
        <v>36</v>
      </c>
      <c r="F5" s="202" t="s">
        <v>678</v>
      </c>
      <c r="H5" s="200" t="s">
        <v>679</v>
      </c>
      <c r="I5" s="199" t="s">
        <v>680</v>
      </c>
      <c r="K5" s="199" t="s">
        <v>681</v>
      </c>
      <c r="L5" s="199" t="s">
        <v>682</v>
      </c>
      <c r="N5" s="200" t="s">
        <v>683</v>
      </c>
      <c r="O5" s="199" t="s">
        <v>684</v>
      </c>
      <c r="Q5" s="217" t="s">
        <v>685</v>
      </c>
      <c r="R5" s="218" t="s">
        <v>686</v>
      </c>
    </row>
    <row r="6" spans="2:18" ht="21">
      <c r="B6" s="583"/>
      <c r="C6" s="583"/>
      <c r="E6" s="202" t="s">
        <v>152</v>
      </c>
      <c r="F6" s="202" t="s">
        <v>687</v>
      </c>
      <c r="H6" s="199" t="s">
        <v>688</v>
      </c>
      <c r="I6" s="199" t="s">
        <v>689</v>
      </c>
      <c r="K6" s="199" t="s">
        <v>690</v>
      </c>
      <c r="L6" s="199" t="s">
        <v>691</v>
      </c>
      <c r="N6" s="199" t="s">
        <v>692</v>
      </c>
      <c r="O6" s="199" t="s">
        <v>693</v>
      </c>
      <c r="Q6" s="217" t="s">
        <v>694</v>
      </c>
      <c r="R6" s="218" t="s">
        <v>695</v>
      </c>
    </row>
    <row r="7" spans="2:18" ht="15.75" customHeight="1">
      <c r="B7" s="582" t="s">
        <v>696</v>
      </c>
      <c r="C7" s="583" t="s">
        <v>697</v>
      </c>
      <c r="E7" s="202" t="s">
        <v>698</v>
      </c>
      <c r="F7" s="202" t="s">
        <v>699</v>
      </c>
      <c r="H7" s="199" t="s">
        <v>700</v>
      </c>
      <c r="I7" s="199" t="s">
        <v>701</v>
      </c>
      <c r="K7" s="199" t="s">
        <v>702</v>
      </c>
      <c r="L7" s="199" t="s">
        <v>703</v>
      </c>
      <c r="N7" s="199" t="s">
        <v>704</v>
      </c>
      <c r="O7" s="199" t="s">
        <v>705</v>
      </c>
      <c r="Q7" s="217" t="s">
        <v>706</v>
      </c>
      <c r="R7" s="218" t="s">
        <v>707</v>
      </c>
    </row>
    <row r="8" spans="2:18" ht="21">
      <c r="B8" s="583"/>
      <c r="C8" s="583"/>
      <c r="E8" s="202" t="s">
        <v>708</v>
      </c>
      <c r="F8" s="202" t="s">
        <v>709</v>
      </c>
      <c r="H8" s="199" t="s">
        <v>710</v>
      </c>
      <c r="I8" s="199" t="s">
        <v>711</v>
      </c>
      <c r="K8" s="199" t="s">
        <v>712</v>
      </c>
      <c r="L8" s="199" t="s">
        <v>713</v>
      </c>
      <c r="N8" s="199" t="s">
        <v>714</v>
      </c>
      <c r="O8" s="199" t="s">
        <v>715</v>
      </c>
      <c r="Q8" s="217" t="s">
        <v>716</v>
      </c>
      <c r="R8" s="218" t="s">
        <v>717</v>
      </c>
    </row>
    <row r="9" spans="2:18" ht="21">
      <c r="E9" s="202" t="s">
        <v>127</v>
      </c>
      <c r="F9" s="202" t="s">
        <v>718</v>
      </c>
      <c r="H9" s="199" t="s">
        <v>719</v>
      </c>
      <c r="I9" s="199" t="s">
        <v>720</v>
      </c>
      <c r="K9" s="201" t="s">
        <v>721</v>
      </c>
      <c r="L9" s="199" t="s">
        <v>722</v>
      </c>
      <c r="N9" s="199" t="s">
        <v>723</v>
      </c>
      <c r="O9" s="199" t="s">
        <v>724</v>
      </c>
      <c r="Q9" s="217" t="s">
        <v>725</v>
      </c>
      <c r="R9" s="218" t="s">
        <v>726</v>
      </c>
    </row>
    <row r="10" spans="2:18" ht="21">
      <c r="E10" s="202" t="s">
        <v>727</v>
      </c>
      <c r="F10" s="202" t="s">
        <v>728</v>
      </c>
      <c r="H10" s="199" t="s">
        <v>729</v>
      </c>
      <c r="I10" s="199" t="s">
        <v>730</v>
      </c>
      <c r="K10" s="199" t="s">
        <v>731</v>
      </c>
      <c r="L10" s="199" t="s">
        <v>732</v>
      </c>
      <c r="N10" s="199" t="s">
        <v>733</v>
      </c>
      <c r="O10" s="199" t="s">
        <v>734</v>
      </c>
      <c r="Q10" s="217" t="s">
        <v>735</v>
      </c>
      <c r="R10" s="218" t="s">
        <v>736</v>
      </c>
    </row>
    <row r="11" spans="2:18" ht="21">
      <c r="E11" s="202" t="s">
        <v>737</v>
      </c>
      <c r="F11" s="202" t="s">
        <v>738</v>
      </c>
      <c r="H11" s="199" t="s">
        <v>739</v>
      </c>
      <c r="I11" s="199" t="s">
        <v>740</v>
      </c>
      <c r="K11" s="199" t="s">
        <v>741</v>
      </c>
      <c r="L11" s="199" t="s">
        <v>742</v>
      </c>
      <c r="Q11" s="217" t="s">
        <v>743</v>
      </c>
      <c r="R11" s="218" t="s">
        <v>744</v>
      </c>
    </row>
    <row r="12" spans="2:18" ht="21">
      <c r="E12" s="202" t="s">
        <v>745</v>
      </c>
      <c r="F12" s="202" t="s">
        <v>746</v>
      </c>
      <c r="H12" s="199" t="s">
        <v>747</v>
      </c>
      <c r="I12" s="199" t="s">
        <v>748</v>
      </c>
      <c r="K12" s="199" t="s">
        <v>749</v>
      </c>
      <c r="L12" s="199" t="s">
        <v>750</v>
      </c>
      <c r="Q12" s="217" t="s">
        <v>751</v>
      </c>
      <c r="R12" s="218" t="s">
        <v>752</v>
      </c>
    </row>
    <row r="13" spans="2:18" ht="21">
      <c r="E13" s="202" t="s">
        <v>753</v>
      </c>
      <c r="F13" s="202" t="s">
        <v>754</v>
      </c>
      <c r="H13" s="199" t="s">
        <v>755</v>
      </c>
      <c r="I13" s="199" t="s">
        <v>756</v>
      </c>
      <c r="K13" s="199" t="s">
        <v>757</v>
      </c>
      <c r="L13" s="199" t="s">
        <v>758</v>
      </c>
      <c r="Q13" s="217" t="s">
        <v>759</v>
      </c>
      <c r="R13" s="218" t="s">
        <v>760</v>
      </c>
    </row>
    <row r="14" spans="2:18" ht="21">
      <c r="E14" s="202" t="s">
        <v>761</v>
      </c>
      <c r="F14" s="202" t="s">
        <v>762</v>
      </c>
      <c r="H14" s="199" t="s">
        <v>763</v>
      </c>
      <c r="I14" s="199" t="s">
        <v>764</v>
      </c>
      <c r="K14" s="199" t="s">
        <v>765</v>
      </c>
      <c r="L14" s="199" t="s">
        <v>766</v>
      </c>
      <c r="Q14" s="217" t="s">
        <v>767</v>
      </c>
      <c r="R14" s="218" t="s">
        <v>768</v>
      </c>
    </row>
    <row r="15" spans="2:18" ht="21">
      <c r="E15" s="202" t="s">
        <v>769</v>
      </c>
      <c r="F15" s="202" t="s">
        <v>770</v>
      </c>
      <c r="H15" s="199" t="s">
        <v>771</v>
      </c>
      <c r="I15" s="199" t="s">
        <v>772</v>
      </c>
      <c r="K15" s="199" t="s">
        <v>773</v>
      </c>
      <c r="L15" s="199" t="s">
        <v>774</v>
      </c>
      <c r="Q15" s="217" t="s">
        <v>775</v>
      </c>
      <c r="R15" s="218" t="s">
        <v>776</v>
      </c>
    </row>
    <row r="16" spans="2:18" ht="21">
      <c r="E16" s="202" t="s">
        <v>777</v>
      </c>
      <c r="F16" s="202" t="s">
        <v>778</v>
      </c>
      <c r="K16" s="199" t="s">
        <v>154</v>
      </c>
      <c r="L16" s="199" t="s">
        <v>779</v>
      </c>
      <c r="Q16" s="217" t="s">
        <v>780</v>
      </c>
      <c r="R16" s="218" t="s">
        <v>781</v>
      </c>
    </row>
    <row r="17" spans="2:18" ht="21">
      <c r="E17" s="202" t="s">
        <v>782</v>
      </c>
      <c r="F17" s="202" t="s">
        <v>783</v>
      </c>
      <c r="K17" s="199" t="s">
        <v>784</v>
      </c>
      <c r="L17" s="199" t="s">
        <v>785</v>
      </c>
      <c r="Q17" s="217" t="s">
        <v>786</v>
      </c>
      <c r="R17" s="218" t="s">
        <v>787</v>
      </c>
    </row>
    <row r="18" spans="2:18" ht="21">
      <c r="E18" s="202" t="s">
        <v>788</v>
      </c>
      <c r="F18" s="202" t="s">
        <v>789</v>
      </c>
      <c r="K18" s="199" t="s">
        <v>790</v>
      </c>
      <c r="L18" s="199" t="s">
        <v>791</v>
      </c>
      <c r="Q18" s="217" t="s">
        <v>792</v>
      </c>
      <c r="R18" s="218" t="s">
        <v>793</v>
      </c>
    </row>
    <row r="19" spans="2:18" ht="21">
      <c r="E19" s="202" t="s">
        <v>794</v>
      </c>
      <c r="F19" s="202" t="s">
        <v>795</v>
      </c>
      <c r="K19" s="199" t="s">
        <v>796</v>
      </c>
      <c r="L19" s="199" t="s">
        <v>797</v>
      </c>
      <c r="Q19" s="217" t="s">
        <v>798</v>
      </c>
      <c r="R19" s="218" t="s">
        <v>799</v>
      </c>
    </row>
    <row r="20" spans="2:18" ht="21">
      <c r="E20" s="202" t="s">
        <v>800</v>
      </c>
      <c r="F20" s="202" t="s">
        <v>801</v>
      </c>
      <c r="K20" s="199" t="s">
        <v>802</v>
      </c>
      <c r="L20" s="199" t="s">
        <v>803</v>
      </c>
      <c r="Q20" s="217" t="s">
        <v>804</v>
      </c>
      <c r="R20" s="218" t="s">
        <v>805</v>
      </c>
    </row>
    <row r="21" spans="2:18" ht="21">
      <c r="E21" s="202" t="s">
        <v>806</v>
      </c>
      <c r="F21" s="202" t="s">
        <v>807</v>
      </c>
      <c r="K21" s="199" t="s">
        <v>808</v>
      </c>
      <c r="L21" s="199" t="s">
        <v>809</v>
      </c>
      <c r="Q21" s="217" t="s">
        <v>810</v>
      </c>
      <c r="R21" s="218" t="s">
        <v>811</v>
      </c>
    </row>
    <row r="22" spans="2:18" ht="21">
      <c r="E22" s="202" t="s">
        <v>812</v>
      </c>
      <c r="F22" s="202" t="s">
        <v>813</v>
      </c>
      <c r="Q22" s="217" t="s">
        <v>814</v>
      </c>
      <c r="R22" s="218" t="s">
        <v>815</v>
      </c>
    </row>
    <row r="23" spans="2:18" ht="21">
      <c r="E23" s="202" t="s">
        <v>816</v>
      </c>
      <c r="F23" s="202" t="s">
        <v>817</v>
      </c>
      <c r="Q23" s="217" t="s">
        <v>818</v>
      </c>
      <c r="R23" s="218" t="s">
        <v>819</v>
      </c>
    </row>
    <row r="24" spans="2:18">
      <c r="E24" s="202" t="s">
        <v>820</v>
      </c>
      <c r="F24" s="202" t="s">
        <v>418</v>
      </c>
    </row>
    <row r="25" spans="2:18">
      <c r="E25" s="202" t="s">
        <v>821</v>
      </c>
      <c r="F25" s="202" t="s">
        <v>419</v>
      </c>
    </row>
    <row r="26" spans="2:18">
      <c r="E26" s="202"/>
      <c r="F26" s="202"/>
    </row>
    <row r="27" spans="2:18">
      <c r="B27" s="584" t="s">
        <v>822</v>
      </c>
      <c r="C27" s="584"/>
      <c r="D27" s="584"/>
      <c r="E27" s="584"/>
      <c r="F27" s="584"/>
      <c r="H27" s="584" t="s">
        <v>823</v>
      </c>
      <c r="I27" s="584"/>
    </row>
    <row r="28" spans="2:18">
      <c r="B28" s="583" t="s">
        <v>663</v>
      </c>
      <c r="C28" s="583"/>
      <c r="D28" s="583" t="s">
        <v>824</v>
      </c>
      <c r="E28" s="583"/>
      <c r="F28" s="583"/>
      <c r="H28" s="583" t="s">
        <v>825</v>
      </c>
      <c r="I28" s="583"/>
    </row>
    <row r="29" spans="2:18">
      <c r="B29" s="583" t="s">
        <v>681</v>
      </c>
      <c r="C29" s="583"/>
      <c r="D29" s="583" t="s">
        <v>826</v>
      </c>
      <c r="E29" s="583"/>
      <c r="F29" s="583"/>
      <c r="H29" s="583" t="s">
        <v>827</v>
      </c>
      <c r="I29" s="583"/>
    </row>
    <row r="30" spans="2:18">
      <c r="B30" s="583" t="s">
        <v>671</v>
      </c>
      <c r="C30" s="583"/>
      <c r="D30" s="583" t="s">
        <v>828</v>
      </c>
      <c r="E30" s="583"/>
      <c r="F30" s="583"/>
      <c r="H30" s="583" t="s">
        <v>829</v>
      </c>
      <c r="I30" s="583"/>
    </row>
  </sheetData>
  <mergeCells count="17">
    <mergeCell ref="B30:C30"/>
    <mergeCell ref="D30:F30"/>
    <mergeCell ref="H30:I30"/>
    <mergeCell ref="B27:F27"/>
    <mergeCell ref="H27:I27"/>
    <mergeCell ref="B28:C28"/>
    <mergeCell ref="D28:F28"/>
    <mergeCell ref="H28:I28"/>
    <mergeCell ref="B29:C29"/>
    <mergeCell ref="D29:F29"/>
    <mergeCell ref="H29:I29"/>
    <mergeCell ref="B3:B4"/>
    <mergeCell ref="C3:C4"/>
    <mergeCell ref="B5:B6"/>
    <mergeCell ref="C5:C6"/>
    <mergeCell ref="B7:B8"/>
    <mergeCell ref="C7:C8"/>
  </mergeCells>
  <pageMargins left="0.7" right="0.7" top="0.75" bottom="0.75" header="0.3" footer="0.3"/>
  <pageSetup paperSize="9"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7:P23"/>
  <sheetViews>
    <sheetView topLeftCell="A4" zoomScale="115" zoomScaleNormal="115" workbookViewId="0">
      <selection activeCell="I36" sqref="I36"/>
    </sheetView>
  </sheetViews>
  <sheetFormatPr defaultRowHeight="15.75"/>
  <cols>
    <col min="1" max="2" width="9.140625" style="277"/>
    <col min="3" max="3" width="7.42578125" style="277" customWidth="1"/>
    <col min="4" max="4" width="15.7109375" style="277" customWidth="1"/>
    <col min="5" max="5" width="2.7109375" style="277" customWidth="1"/>
    <col min="6" max="6" width="11.7109375" style="277" customWidth="1"/>
    <col min="7" max="7" width="13.85546875" style="277" bestFit="1" customWidth="1"/>
    <col min="8" max="8" width="11.7109375" style="277" customWidth="1"/>
    <col min="9" max="12" width="9.140625" style="277"/>
    <col min="13" max="13" width="9.5703125" style="277" bestFit="1" customWidth="1"/>
    <col min="14" max="14" width="9.140625" style="277"/>
    <col min="15" max="15" width="13.140625" style="277" bestFit="1" customWidth="1"/>
    <col min="16" max="16" width="13.7109375" style="277" bestFit="1" customWidth="1"/>
    <col min="17" max="16384" width="9.140625" style="277"/>
  </cols>
  <sheetData>
    <row r="7" spans="1:16" ht="16.5" thickBot="1">
      <c r="M7" s="277">
        <f>L10*20/100</f>
        <v>0.04</v>
      </c>
    </row>
    <row r="8" spans="1:16" ht="16.5" thickBot="1">
      <c r="B8" s="587" t="s">
        <v>830</v>
      </c>
      <c r="C8" s="588"/>
      <c r="D8" s="589"/>
      <c r="E8" s="358"/>
      <c r="F8" s="587" t="s">
        <v>831</v>
      </c>
      <c r="G8" s="588"/>
      <c r="H8" s="589"/>
      <c r="J8" s="587" t="s">
        <v>832</v>
      </c>
      <c r="K8" s="588"/>
      <c r="L8" s="588"/>
      <c r="M8" s="589"/>
      <c r="O8" s="585" t="s">
        <v>833</v>
      </c>
      <c r="P8" s="586"/>
    </row>
    <row r="9" spans="1:16" ht="16.5" thickBot="1">
      <c r="B9" s="282" t="s">
        <v>834</v>
      </c>
      <c r="C9" s="308" t="s">
        <v>835</v>
      </c>
      <c r="D9" s="283" t="s">
        <v>836</v>
      </c>
      <c r="E9" s="359"/>
      <c r="F9" s="282" t="s">
        <v>834</v>
      </c>
      <c r="G9" s="308" t="s">
        <v>835</v>
      </c>
      <c r="H9" s="283" t="s">
        <v>836</v>
      </c>
      <c r="J9" s="288" t="s">
        <v>837</v>
      </c>
      <c r="K9" s="289" t="s">
        <v>838</v>
      </c>
      <c r="L9" s="289" t="s">
        <v>839</v>
      </c>
      <c r="M9" s="290" t="s">
        <v>840</v>
      </c>
      <c r="O9" s="304" t="s">
        <v>841</v>
      </c>
      <c r="P9" s="305" t="s">
        <v>842</v>
      </c>
    </row>
    <row r="10" spans="1:16">
      <c r="B10" s="278">
        <v>2</v>
      </c>
      <c r="C10" s="309">
        <v>1</v>
      </c>
      <c r="D10" s="299">
        <v>0.57999999999999996</v>
      </c>
      <c r="E10" s="357"/>
      <c r="F10" s="278">
        <v>3.2</v>
      </c>
      <c r="G10" s="309">
        <v>1</v>
      </c>
      <c r="H10" s="299">
        <v>1.4</v>
      </c>
      <c r="J10" s="285" t="s">
        <v>843</v>
      </c>
      <c r="K10" s="198" t="s">
        <v>844</v>
      </c>
      <c r="L10" s="198">
        <v>0.2</v>
      </c>
      <c r="M10" s="299">
        <f>L10/18*14</f>
        <v>0.15555555555555556</v>
      </c>
      <c r="O10" s="301"/>
      <c r="P10" s="300"/>
    </row>
    <row r="11" spans="1:16">
      <c r="B11" s="278">
        <v>2.5</v>
      </c>
      <c r="C11" s="309">
        <v>1</v>
      </c>
      <c r="D11" s="299">
        <v>0.86</v>
      </c>
      <c r="E11" s="357"/>
      <c r="F11" s="278" t="s">
        <v>845</v>
      </c>
      <c r="G11" s="309" t="s">
        <v>846</v>
      </c>
      <c r="H11" s="299" t="s">
        <v>847</v>
      </c>
      <c r="J11" s="285" t="s">
        <v>848</v>
      </c>
      <c r="K11" s="198" t="s">
        <v>844</v>
      </c>
      <c r="L11" s="198">
        <v>0.15</v>
      </c>
      <c r="M11" s="299">
        <f t="shared" ref="M11:M14" si="0">L11/18*14</f>
        <v>0.11666666666666667</v>
      </c>
      <c r="O11" s="301" t="s">
        <v>849</v>
      </c>
      <c r="P11" s="300">
        <v>12</v>
      </c>
    </row>
    <row r="12" spans="1:16">
      <c r="B12" s="278">
        <v>3</v>
      </c>
      <c r="C12" s="309">
        <v>1</v>
      </c>
      <c r="D12" s="299">
        <v>1.1399999999999999</v>
      </c>
      <c r="E12" s="357"/>
      <c r="F12" s="278"/>
      <c r="G12" s="309"/>
      <c r="H12" s="299"/>
      <c r="J12" s="285" t="s">
        <v>850</v>
      </c>
      <c r="K12" s="198" t="s">
        <v>851</v>
      </c>
      <c r="L12" s="198">
        <v>0.15</v>
      </c>
      <c r="M12" s="299">
        <f t="shared" si="0"/>
        <v>0.11666666666666667</v>
      </c>
      <c r="O12" s="301" t="s">
        <v>852</v>
      </c>
      <c r="P12" s="300">
        <v>13</v>
      </c>
    </row>
    <row r="13" spans="1:16" ht="16.5" thickBot="1">
      <c r="B13" s="280">
        <v>3.5</v>
      </c>
      <c r="C13" s="310">
        <v>1</v>
      </c>
      <c r="D13" s="307">
        <v>1.29</v>
      </c>
      <c r="E13" s="357"/>
      <c r="F13" s="280"/>
      <c r="G13" s="310"/>
      <c r="H13" s="307"/>
      <c r="J13" s="285" t="s">
        <v>853</v>
      </c>
      <c r="K13" s="198" t="s">
        <v>854</v>
      </c>
      <c r="L13" s="198">
        <v>0.25</v>
      </c>
      <c r="M13" s="299">
        <f t="shared" si="0"/>
        <v>0.19444444444444442</v>
      </c>
      <c r="O13" s="301"/>
      <c r="P13" s="300"/>
    </row>
    <row r="14" spans="1:16" ht="16.5" thickBot="1">
      <c r="A14" s="277" t="s">
        <v>855</v>
      </c>
      <c r="J14" s="286"/>
      <c r="K14" s="287"/>
      <c r="L14" s="287"/>
      <c r="M14" s="307">
        <f t="shared" si="0"/>
        <v>0</v>
      </c>
      <c r="O14" s="301"/>
      <c r="P14" s="306"/>
    </row>
    <row r="15" spans="1:16" ht="16.5" thickBot="1">
      <c r="O15" s="301"/>
      <c r="P15" s="306"/>
    </row>
    <row r="16" spans="1:16" ht="16.5" thickBot="1">
      <c r="B16" s="587" t="s">
        <v>9</v>
      </c>
      <c r="C16" s="588"/>
      <c r="D16" s="589"/>
      <c r="E16" s="358"/>
      <c r="F16" s="358"/>
      <c r="G16" s="358"/>
      <c r="H16" s="358"/>
      <c r="J16" s="590" t="s">
        <v>856</v>
      </c>
      <c r="K16" s="591"/>
      <c r="L16" s="591" t="s">
        <v>857</v>
      </c>
      <c r="M16" s="592"/>
      <c r="O16" s="302"/>
      <c r="P16" s="303"/>
    </row>
    <row r="17" spans="2:9" ht="16.5" thickBot="1">
      <c r="B17" s="282" t="s">
        <v>834</v>
      </c>
      <c r="C17" s="308"/>
      <c r="D17" s="283" t="s">
        <v>858</v>
      </c>
      <c r="E17" s="359"/>
      <c r="F17" s="359"/>
      <c r="G17" s="359"/>
      <c r="H17" s="359"/>
    </row>
    <row r="18" spans="2:9">
      <c r="B18" s="278">
        <v>4.25</v>
      </c>
      <c r="C18" s="309"/>
      <c r="D18" s="279">
        <v>0.1</v>
      </c>
      <c r="E18" s="309"/>
      <c r="F18" s="309"/>
      <c r="G18" s="309"/>
      <c r="H18" s="309"/>
    </row>
    <row r="19" spans="2:9">
      <c r="B19" s="278"/>
      <c r="C19" s="309"/>
      <c r="D19" s="279"/>
      <c r="E19" s="309"/>
      <c r="F19" s="309"/>
      <c r="G19" s="309"/>
      <c r="H19" s="309"/>
    </row>
    <row r="20" spans="2:9" ht="16.5" thickBot="1">
      <c r="B20" s="280"/>
      <c r="C20" s="310"/>
      <c r="D20" s="281"/>
      <c r="E20" s="309"/>
      <c r="F20" s="309"/>
      <c r="G20" s="309"/>
      <c r="H20" s="309"/>
    </row>
    <row r="23" spans="2:9">
      <c r="I23" s="284"/>
    </row>
  </sheetData>
  <mergeCells count="7">
    <mergeCell ref="O8:P8"/>
    <mergeCell ref="B8:D8"/>
    <mergeCell ref="J8:M8"/>
    <mergeCell ref="B16:D16"/>
    <mergeCell ref="J16:K16"/>
    <mergeCell ref="L16:M16"/>
    <mergeCell ref="F8:H8"/>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XFD1048576"/>
  <sheetViews>
    <sheetView workbookViewId="0">
      <selection activeCell="J39" sqref="J39"/>
    </sheetView>
  </sheetViews>
  <sheetFormatPr defaultColWidth="9.85546875" defaultRowHeight="15"/>
  <cols>
    <col min="4" max="4" width="14.7109375" customWidth="1"/>
    <col min="6" max="6" width="3.85546875" customWidth="1"/>
    <col min="16379" max="16379" width="8.5703125" customWidth="1"/>
    <col min="16380" max="16382" width="9.85546875" hidden="1" customWidth="1"/>
    <col min="16383" max="16383" width="9.140625" customWidth="1"/>
    <col min="16384" max="16384" width="48.42578125" customWidth="1"/>
  </cols>
  <sheetData>
    <row r="2" spans="2:10" ht="15.75" thickBot="1"/>
    <row r="3" spans="2:10">
      <c r="B3" s="594" t="s">
        <v>859</v>
      </c>
      <c r="C3" s="595"/>
      <c r="D3" s="595"/>
      <c r="E3" s="596"/>
      <c r="G3" s="601" t="s">
        <v>860</v>
      </c>
      <c r="H3" s="602"/>
      <c r="I3" s="602"/>
      <c r="J3" s="603"/>
    </row>
    <row r="4" spans="2:10" ht="15.75" thickBot="1">
      <c r="B4" s="597"/>
      <c r="C4" s="598"/>
      <c r="D4" s="598"/>
      <c r="E4" s="599"/>
      <c r="G4" s="604"/>
      <c r="H4" s="605"/>
      <c r="I4" s="605"/>
      <c r="J4" s="606"/>
    </row>
    <row r="5" spans="2:10" ht="15.75" thickBot="1">
      <c r="B5" s="311" t="s">
        <v>13</v>
      </c>
      <c r="C5" s="311" t="s">
        <v>861</v>
      </c>
      <c r="D5" s="311" t="s">
        <v>21</v>
      </c>
      <c r="E5" s="311" t="s">
        <v>32</v>
      </c>
      <c r="G5" s="321" t="s">
        <v>13</v>
      </c>
      <c r="H5" s="321" t="s">
        <v>861</v>
      </c>
      <c r="I5" s="321" t="s">
        <v>21</v>
      </c>
      <c r="J5" s="321" t="s">
        <v>32</v>
      </c>
    </row>
    <row r="6" spans="2:10">
      <c r="B6" s="312" t="s">
        <v>862</v>
      </c>
      <c r="C6" s="313">
        <v>13</v>
      </c>
      <c r="D6" s="314"/>
      <c r="E6" s="315"/>
      <c r="G6" s="322" t="s">
        <v>862</v>
      </c>
      <c r="H6" s="323">
        <v>13</v>
      </c>
      <c r="I6" s="324"/>
      <c r="J6" s="325"/>
    </row>
    <row r="7" spans="2:10">
      <c r="B7" s="312" t="s">
        <v>862</v>
      </c>
      <c r="C7" s="313">
        <v>10</v>
      </c>
      <c r="D7" s="314"/>
      <c r="E7" s="315"/>
      <c r="G7" s="322" t="s">
        <v>862</v>
      </c>
      <c r="H7" s="323">
        <v>10</v>
      </c>
      <c r="I7" s="324"/>
      <c r="J7" s="325"/>
    </row>
    <row r="8" spans="2:10">
      <c r="B8" s="312" t="s">
        <v>23</v>
      </c>
      <c r="C8" s="313">
        <v>12</v>
      </c>
      <c r="D8" s="314"/>
      <c r="E8" s="315"/>
      <c r="G8" s="322" t="s">
        <v>23</v>
      </c>
      <c r="H8" s="323">
        <v>12</v>
      </c>
      <c r="I8" s="324"/>
      <c r="J8" s="325"/>
    </row>
    <row r="9" spans="2:10">
      <c r="B9" s="312" t="s">
        <v>23</v>
      </c>
      <c r="C9" s="313">
        <v>19</v>
      </c>
      <c r="D9" s="314"/>
      <c r="E9" s="315"/>
      <c r="G9" s="322" t="s">
        <v>23</v>
      </c>
      <c r="H9" s="323">
        <v>19</v>
      </c>
      <c r="I9" s="324"/>
      <c r="J9" s="325"/>
    </row>
    <row r="10" spans="2:10">
      <c r="B10" s="312" t="s">
        <v>23</v>
      </c>
      <c r="C10" s="313">
        <v>20</v>
      </c>
      <c r="D10" s="314"/>
      <c r="E10" s="315"/>
      <c r="G10" s="322" t="s">
        <v>23</v>
      </c>
      <c r="H10" s="323">
        <v>20</v>
      </c>
      <c r="I10" s="324"/>
      <c r="J10" s="325"/>
    </row>
    <row r="11" spans="2:10">
      <c r="B11" s="312" t="s">
        <v>23</v>
      </c>
      <c r="C11" s="313">
        <v>21</v>
      </c>
      <c r="D11" s="314"/>
      <c r="E11" s="315"/>
      <c r="G11" s="322" t="s">
        <v>23</v>
      </c>
      <c r="H11" s="323">
        <v>21</v>
      </c>
      <c r="I11" s="324"/>
      <c r="J11" s="325"/>
    </row>
    <row r="12" spans="2:10">
      <c r="B12" s="312" t="s">
        <v>23</v>
      </c>
      <c r="C12" s="313">
        <v>22</v>
      </c>
      <c r="D12" s="314"/>
      <c r="E12" s="315"/>
      <c r="G12" s="322" t="s">
        <v>23</v>
      </c>
      <c r="H12" s="323">
        <v>22</v>
      </c>
      <c r="I12" s="324"/>
      <c r="J12" s="325"/>
    </row>
    <row r="13" spans="2:10">
      <c r="B13" s="312" t="s">
        <v>23</v>
      </c>
      <c r="C13" s="313">
        <v>21.2</v>
      </c>
      <c r="D13" s="314"/>
      <c r="E13" s="315"/>
      <c r="G13" s="322" t="s">
        <v>23</v>
      </c>
      <c r="H13" s="323">
        <v>23</v>
      </c>
      <c r="I13" s="324"/>
      <c r="J13" s="325"/>
    </row>
    <row r="14" spans="2:10">
      <c r="B14" s="312" t="s">
        <v>23</v>
      </c>
      <c r="C14" s="313">
        <v>35</v>
      </c>
      <c r="D14" s="314"/>
      <c r="E14" s="315"/>
      <c r="G14" s="337" t="s">
        <v>863</v>
      </c>
      <c r="H14" s="338">
        <v>21.9</v>
      </c>
      <c r="I14" s="348"/>
      <c r="J14" s="340"/>
    </row>
    <row r="15" spans="2:10">
      <c r="B15" s="312"/>
      <c r="C15" s="353"/>
      <c r="D15" s="317"/>
      <c r="E15" s="318"/>
      <c r="G15" s="337" t="s">
        <v>863</v>
      </c>
      <c r="H15" s="354">
        <v>16</v>
      </c>
      <c r="I15" s="355"/>
      <c r="J15" s="356"/>
    </row>
    <row r="16" spans="2:10" ht="15.75" thickBot="1">
      <c r="B16" s="312"/>
      <c r="C16" s="316"/>
      <c r="D16" s="317"/>
      <c r="E16" s="318"/>
      <c r="G16" s="326"/>
      <c r="H16" s="327"/>
      <c r="I16" s="328"/>
      <c r="J16" s="329"/>
    </row>
    <row r="17" spans="2:10" ht="15.75" thickBot="1">
      <c r="B17" s="600" t="s">
        <v>36</v>
      </c>
      <c r="C17" s="600"/>
      <c r="D17" s="319">
        <f>SUM(D9:D16)</f>
        <v>0</v>
      </c>
      <c r="E17" s="320">
        <f>SUM(E9:E16)</f>
        <v>0</v>
      </c>
      <c r="G17" s="607" t="s">
        <v>36</v>
      </c>
      <c r="H17" s="607"/>
      <c r="I17" s="330">
        <f>SUM(I9:I16)</f>
        <v>0</v>
      </c>
      <c r="J17" s="331">
        <f>SUM(J9:J16)</f>
        <v>0</v>
      </c>
    </row>
    <row r="18" spans="2:10" ht="15.75" thickBot="1"/>
    <row r="19" spans="2:10">
      <c r="B19" s="608" t="s">
        <v>864</v>
      </c>
      <c r="C19" s="609"/>
      <c r="D19" s="609"/>
      <c r="E19" s="610"/>
    </row>
    <row r="20" spans="2:10" ht="15.75" thickBot="1">
      <c r="B20" s="611"/>
      <c r="C20" s="612"/>
      <c r="D20" s="612"/>
      <c r="E20" s="613"/>
    </row>
    <row r="21" spans="2:10" ht="15.75" thickBot="1">
      <c r="B21" s="332" t="s">
        <v>13</v>
      </c>
      <c r="C21" s="332" t="s">
        <v>865</v>
      </c>
      <c r="D21" s="332" t="s">
        <v>861</v>
      </c>
      <c r="E21" s="332"/>
    </row>
    <row r="22" spans="2:10">
      <c r="B22" s="333" t="s">
        <v>23</v>
      </c>
      <c r="C22" s="334" t="s">
        <v>866</v>
      </c>
      <c r="D22" s="334" t="s">
        <v>867</v>
      </c>
      <c r="E22" s="335"/>
    </row>
    <row r="23" spans="2:10">
      <c r="B23" s="333" t="s">
        <v>23</v>
      </c>
      <c r="C23" s="334" t="s">
        <v>868</v>
      </c>
      <c r="D23" s="336" t="s">
        <v>869</v>
      </c>
      <c r="E23" s="335"/>
    </row>
    <row r="24" spans="2:10">
      <c r="B24" s="333" t="s">
        <v>23</v>
      </c>
      <c r="C24" s="334" t="s">
        <v>870</v>
      </c>
      <c r="D24" s="336" t="s">
        <v>871</v>
      </c>
      <c r="E24" s="335"/>
    </row>
    <row r="25" spans="2:10">
      <c r="B25" s="333" t="s">
        <v>23</v>
      </c>
      <c r="C25" s="334" t="s">
        <v>872</v>
      </c>
      <c r="D25" s="336" t="s">
        <v>873</v>
      </c>
      <c r="E25" s="335"/>
    </row>
    <row r="26" spans="2:10">
      <c r="B26" s="337" t="s">
        <v>863</v>
      </c>
      <c r="C26" s="338" t="s">
        <v>874</v>
      </c>
      <c r="D26" s="339" t="s">
        <v>875</v>
      </c>
      <c r="E26" s="340"/>
    </row>
    <row r="27" spans="2:10">
      <c r="B27" s="337" t="s">
        <v>863</v>
      </c>
      <c r="C27" s="338" t="s">
        <v>874</v>
      </c>
      <c r="D27" s="339" t="s">
        <v>876</v>
      </c>
      <c r="E27" s="339" t="s">
        <v>876</v>
      </c>
    </row>
    <row r="28" spans="2:10">
      <c r="B28" s="333" t="s">
        <v>877</v>
      </c>
      <c r="C28" s="334" t="s">
        <v>878</v>
      </c>
      <c r="D28" s="341" t="s">
        <v>879</v>
      </c>
      <c r="E28" s="335"/>
    </row>
    <row r="29" spans="2:10">
      <c r="B29" s="333" t="s">
        <v>36</v>
      </c>
      <c r="C29" s="334" t="s">
        <v>880</v>
      </c>
      <c r="D29" s="341" t="s">
        <v>881</v>
      </c>
      <c r="E29" s="335"/>
    </row>
    <row r="30" spans="2:10">
      <c r="B30" s="333" t="s">
        <v>687</v>
      </c>
      <c r="C30" s="334" t="s">
        <v>868</v>
      </c>
      <c r="D30" s="334" t="s">
        <v>882</v>
      </c>
      <c r="E30" s="335"/>
    </row>
    <row r="31" spans="2:10">
      <c r="B31" s="333" t="s">
        <v>687</v>
      </c>
      <c r="C31" s="334" t="s">
        <v>868</v>
      </c>
      <c r="D31" s="341" t="s">
        <v>883</v>
      </c>
      <c r="E31" s="335"/>
    </row>
    <row r="32" spans="2:10">
      <c r="B32" s="333" t="s">
        <v>687</v>
      </c>
      <c r="C32" s="334" t="s">
        <v>884</v>
      </c>
      <c r="D32" s="341" t="s">
        <v>885</v>
      </c>
      <c r="E32" s="335"/>
    </row>
    <row r="33" spans="2:5">
      <c r="B33" s="333"/>
      <c r="C33" s="334"/>
      <c r="D33" s="341"/>
      <c r="E33" s="335"/>
    </row>
    <row r="34" spans="2:5" ht="15.75" thickBot="1">
      <c r="B34" s="342"/>
      <c r="C34" s="343"/>
      <c r="D34" s="344"/>
      <c r="E34" s="345"/>
    </row>
    <row r="35" spans="2:5" ht="15.75" thickBot="1">
      <c r="B35" s="593"/>
      <c r="C35" s="593"/>
      <c r="D35" s="346"/>
      <c r="E35" s="347"/>
    </row>
    <row r="1048576" spans="16384:16384">
      <c r="XFD1048576" t="s">
        <v>886</v>
      </c>
    </row>
  </sheetData>
  <mergeCells count="6">
    <mergeCell ref="B35:C35"/>
    <mergeCell ref="B3:E4"/>
    <mergeCell ref="B17:C17"/>
    <mergeCell ref="G3:J4"/>
    <mergeCell ref="G17:H17"/>
    <mergeCell ref="B19:E2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91"/>
  <sheetViews>
    <sheetView zoomScale="70" zoomScaleNormal="70" workbookViewId="0">
      <selection activeCell="H8" sqref="H8"/>
    </sheetView>
  </sheetViews>
  <sheetFormatPr defaultRowHeight="15"/>
  <cols>
    <col min="1" max="1" width="18.42578125" style="7" customWidth="1"/>
    <col min="2" max="4" width="10.7109375" style="7" customWidth="1"/>
    <col min="5" max="5" width="13.85546875" style="7" customWidth="1"/>
    <col min="6" max="6" width="10.7109375" style="7" customWidth="1"/>
    <col min="7" max="7" width="9.140625" style="7"/>
    <col min="8" max="8" width="18.85546875" style="7" customWidth="1"/>
    <col min="9" max="12" width="13.28515625" style="7" customWidth="1"/>
    <col min="13" max="14" width="9.140625" style="7"/>
    <col min="15" max="15" width="14.42578125" style="7" bestFit="1" customWidth="1"/>
    <col min="16" max="16" width="16.140625" style="7" customWidth="1"/>
    <col min="17" max="16384" width="9.140625" style="7"/>
  </cols>
  <sheetData>
    <row r="1" spans="1:19" ht="15.75" thickBot="1"/>
    <row r="2" spans="1:19" ht="18.75">
      <c r="A2" s="561" t="s">
        <v>36</v>
      </c>
      <c r="B2" s="629" t="s">
        <v>887</v>
      </c>
      <c r="C2" s="630"/>
      <c r="D2" s="630"/>
      <c r="E2" s="631"/>
      <c r="F2" s="130"/>
      <c r="H2" s="561" t="s">
        <v>888</v>
      </c>
      <c r="I2" s="623" t="s">
        <v>888</v>
      </c>
      <c r="J2" s="624"/>
      <c r="K2" s="624"/>
      <c r="L2" s="625"/>
      <c r="O2" s="561" t="s">
        <v>418</v>
      </c>
      <c r="P2" s="614" t="s">
        <v>889</v>
      </c>
      <c r="Q2" s="615"/>
      <c r="R2" s="615"/>
      <c r="S2" s="616"/>
    </row>
    <row r="3" spans="1:19" ht="15.75" thickBot="1">
      <c r="A3" s="563"/>
      <c r="B3" s="632"/>
      <c r="C3" s="633"/>
      <c r="D3" s="633"/>
      <c r="E3" s="634"/>
      <c r="H3" s="563"/>
      <c r="I3" s="626"/>
      <c r="J3" s="627"/>
      <c r="K3" s="627"/>
      <c r="L3" s="628"/>
      <c r="O3" s="563"/>
      <c r="P3" s="617"/>
      <c r="Q3" s="618"/>
      <c r="R3" s="618"/>
      <c r="S3" s="619"/>
    </row>
    <row r="4" spans="1:19" ht="15.75" thickBot="1">
      <c r="B4" s="131" t="s">
        <v>37</v>
      </c>
      <c r="C4" s="131" t="s">
        <v>22</v>
      </c>
      <c r="D4" s="131" t="s">
        <v>890</v>
      </c>
      <c r="E4" s="131" t="s">
        <v>32</v>
      </c>
      <c r="I4" s="131" t="s">
        <v>37</v>
      </c>
      <c r="J4" s="131" t="s">
        <v>22</v>
      </c>
      <c r="K4" s="131" t="s">
        <v>890</v>
      </c>
      <c r="L4" s="131" t="s">
        <v>32</v>
      </c>
      <c r="P4" s="131" t="s">
        <v>37</v>
      </c>
      <c r="Q4" s="131" t="s">
        <v>22</v>
      </c>
      <c r="R4" s="131" t="s">
        <v>890</v>
      </c>
      <c r="S4" s="131" t="s">
        <v>32</v>
      </c>
    </row>
    <row r="5" spans="1:19">
      <c r="B5" s="401" t="s">
        <v>404</v>
      </c>
      <c r="C5" s="402">
        <v>0.25</v>
      </c>
      <c r="D5" s="403"/>
      <c r="E5" s="404"/>
      <c r="I5" s="401">
        <v>4</v>
      </c>
      <c r="J5" s="402"/>
      <c r="K5" s="403"/>
      <c r="L5" s="404"/>
      <c r="P5" s="442" t="s">
        <v>422</v>
      </c>
      <c r="Q5" s="424"/>
      <c r="R5" s="425"/>
      <c r="S5" s="426"/>
    </row>
    <row r="6" spans="1:19">
      <c r="B6" s="401" t="s">
        <v>164</v>
      </c>
      <c r="C6" s="402">
        <v>0.32</v>
      </c>
      <c r="D6" s="403"/>
      <c r="E6" s="404">
        <f t="shared" ref="E6:E12" si="0">D6*C6</f>
        <v>0</v>
      </c>
      <c r="G6" s="621"/>
      <c r="I6" s="401">
        <v>6</v>
      </c>
      <c r="J6" s="402"/>
      <c r="K6" s="403"/>
      <c r="L6" s="404"/>
      <c r="O6" s="114"/>
      <c r="P6" s="427" t="s">
        <v>424</v>
      </c>
      <c r="Q6" s="428"/>
      <c r="R6" s="409"/>
      <c r="S6" s="429"/>
    </row>
    <row r="7" spans="1:19">
      <c r="B7" s="401" t="s">
        <v>25</v>
      </c>
      <c r="C7" s="402">
        <v>0.62</v>
      </c>
      <c r="D7" s="403"/>
      <c r="E7" s="404">
        <f t="shared" si="0"/>
        <v>0</v>
      </c>
      <c r="G7" s="622"/>
      <c r="I7" s="401">
        <v>7</v>
      </c>
      <c r="J7" s="402"/>
      <c r="K7" s="403"/>
      <c r="L7" s="404"/>
      <c r="O7" s="114"/>
      <c r="P7" s="427" t="s">
        <v>412</v>
      </c>
      <c r="Q7" s="428"/>
      <c r="R7" s="409"/>
      <c r="S7" s="429"/>
    </row>
    <row r="8" spans="1:19">
      <c r="B8" s="401" t="s">
        <v>408</v>
      </c>
      <c r="C8" s="402">
        <v>1.06</v>
      </c>
      <c r="D8" s="403"/>
      <c r="E8" s="404">
        <f t="shared" si="0"/>
        <v>0</v>
      </c>
      <c r="G8" s="622"/>
      <c r="I8" s="401">
        <v>8</v>
      </c>
      <c r="J8" s="402"/>
      <c r="K8" s="403"/>
      <c r="L8" s="404"/>
      <c r="O8" s="114"/>
      <c r="P8" s="442" t="s">
        <v>428</v>
      </c>
      <c r="Q8" s="424"/>
      <c r="R8" s="425"/>
      <c r="S8" s="426"/>
    </row>
    <row r="9" spans="1:19">
      <c r="B9" s="401" t="s">
        <v>410</v>
      </c>
      <c r="C9" s="402">
        <v>1.38</v>
      </c>
      <c r="D9" s="403"/>
      <c r="E9" s="404">
        <f t="shared" si="0"/>
        <v>0</v>
      </c>
      <c r="G9" s="622"/>
      <c r="I9" s="401">
        <v>9</v>
      </c>
      <c r="J9" s="402"/>
      <c r="K9" s="403"/>
      <c r="L9" s="404"/>
    </row>
    <row r="10" spans="1:19" ht="15.75" thickBot="1">
      <c r="B10" s="401" t="s">
        <v>412</v>
      </c>
      <c r="C10" s="402">
        <v>2.1</v>
      </c>
      <c r="D10" s="403"/>
      <c r="E10" s="404">
        <f t="shared" si="0"/>
        <v>0</v>
      </c>
      <c r="G10" s="622"/>
      <c r="I10" s="401">
        <v>10</v>
      </c>
      <c r="J10" s="402"/>
      <c r="K10" s="403"/>
      <c r="L10" s="404"/>
    </row>
    <row r="11" spans="1:19">
      <c r="B11" s="401" t="s">
        <v>415</v>
      </c>
      <c r="C11" s="402">
        <v>3.02</v>
      </c>
      <c r="D11" s="403"/>
      <c r="E11" s="404">
        <f t="shared" si="0"/>
        <v>0</v>
      </c>
      <c r="G11" s="622"/>
      <c r="I11" s="401">
        <v>11</v>
      </c>
      <c r="J11" s="402"/>
      <c r="K11" s="403"/>
      <c r="L11" s="404"/>
      <c r="O11" s="561" t="s">
        <v>419</v>
      </c>
      <c r="P11" s="614" t="s">
        <v>891</v>
      </c>
      <c r="Q11" s="615"/>
      <c r="R11" s="615"/>
      <c r="S11" s="616"/>
    </row>
    <row r="12" spans="1:19" ht="15.75" thickBot="1">
      <c r="B12" s="405" t="s">
        <v>167</v>
      </c>
      <c r="C12" s="406">
        <v>4.7</v>
      </c>
      <c r="D12" s="407"/>
      <c r="E12" s="408">
        <f t="shared" si="0"/>
        <v>0</v>
      </c>
      <c r="G12" s="622"/>
      <c r="I12" s="405">
        <v>12</v>
      </c>
      <c r="J12" s="406"/>
      <c r="K12" s="407"/>
      <c r="L12" s="408"/>
      <c r="O12" s="563"/>
      <c r="P12" s="617"/>
      <c r="Q12" s="618"/>
      <c r="R12" s="618"/>
      <c r="S12" s="619"/>
    </row>
    <row r="13" spans="1:19" ht="15.75" thickBot="1">
      <c r="B13" s="620" t="s">
        <v>36</v>
      </c>
      <c r="C13" s="620"/>
      <c r="D13" s="140">
        <f>SUM(D6:D12)</f>
        <v>0</v>
      </c>
      <c r="E13" s="141">
        <f>SUM(E6:E12)</f>
        <v>0</v>
      </c>
      <c r="G13" s="622"/>
      <c r="I13" s="620" t="s">
        <v>36</v>
      </c>
      <c r="J13" s="620"/>
      <c r="K13" s="140">
        <f>SUM(K6:K12)</f>
        <v>0</v>
      </c>
      <c r="L13" s="141">
        <f>SUM(L6:L12)</f>
        <v>0</v>
      </c>
      <c r="P13" s="131" t="s">
        <v>37</v>
      </c>
      <c r="Q13" s="131" t="s">
        <v>22</v>
      </c>
      <c r="R13" s="131" t="s">
        <v>890</v>
      </c>
      <c r="S13" s="131" t="s">
        <v>32</v>
      </c>
    </row>
    <row r="14" spans="1:19">
      <c r="G14" s="622"/>
      <c r="P14" s="442" t="s">
        <v>164</v>
      </c>
      <c r="Q14" s="424"/>
      <c r="R14" s="425"/>
      <c r="S14" s="426"/>
    </row>
    <row r="15" spans="1:19" ht="15.75" thickBot="1">
      <c r="G15" s="621"/>
      <c r="O15" s="114"/>
      <c r="P15" s="427" t="s">
        <v>25</v>
      </c>
      <c r="Q15" s="428"/>
      <c r="R15" s="409"/>
      <c r="S15" s="429"/>
    </row>
    <row r="16" spans="1:19">
      <c r="A16" s="561" t="s">
        <v>105</v>
      </c>
      <c r="B16" s="629" t="s">
        <v>892</v>
      </c>
      <c r="C16" s="630"/>
      <c r="D16" s="630"/>
      <c r="E16" s="631"/>
      <c r="G16" s="622"/>
      <c r="H16" s="561" t="s">
        <v>893</v>
      </c>
      <c r="I16" s="623" t="s">
        <v>893</v>
      </c>
      <c r="J16" s="624"/>
      <c r="K16" s="624"/>
      <c r="L16" s="625"/>
      <c r="O16" s="114"/>
      <c r="P16" s="427"/>
      <c r="Q16" s="428"/>
      <c r="R16" s="409"/>
      <c r="S16" s="429"/>
    </row>
    <row r="17" spans="1:19" ht="15.75" thickBot="1">
      <c r="A17" s="563"/>
      <c r="B17" s="632"/>
      <c r="C17" s="633"/>
      <c r="D17" s="633"/>
      <c r="E17" s="634"/>
      <c r="G17" s="622"/>
      <c r="H17" s="563"/>
      <c r="I17" s="626"/>
      <c r="J17" s="627"/>
      <c r="K17" s="627"/>
      <c r="L17" s="628"/>
      <c r="O17" s="114"/>
      <c r="P17" s="442"/>
      <c r="Q17" s="424"/>
      <c r="R17" s="425"/>
      <c r="S17" s="426"/>
    </row>
    <row r="18" spans="1:19" ht="15.75" thickBot="1">
      <c r="B18" s="131" t="s">
        <v>37</v>
      </c>
      <c r="C18" s="131" t="s">
        <v>22</v>
      </c>
      <c r="D18" s="131" t="s">
        <v>890</v>
      </c>
      <c r="E18" s="131" t="s">
        <v>32</v>
      </c>
      <c r="G18" s="622"/>
      <c r="I18" s="131" t="s">
        <v>37</v>
      </c>
      <c r="J18" s="131" t="s">
        <v>22</v>
      </c>
      <c r="K18" s="131" t="s">
        <v>890</v>
      </c>
      <c r="L18" s="131" t="s">
        <v>32</v>
      </c>
    </row>
    <row r="19" spans="1:19">
      <c r="B19" s="132"/>
      <c r="C19" s="133"/>
      <c r="D19" s="134"/>
      <c r="E19" s="135"/>
      <c r="G19" s="622"/>
      <c r="I19" s="401">
        <v>4</v>
      </c>
      <c r="J19" s="402"/>
      <c r="K19" s="403"/>
      <c r="L19" s="404"/>
      <c r="O19" s="561" t="s">
        <v>709</v>
      </c>
      <c r="P19" s="614" t="s">
        <v>894</v>
      </c>
      <c r="Q19" s="615"/>
      <c r="R19" s="615"/>
      <c r="S19" s="616"/>
    </row>
    <row r="20" spans="1:19" ht="15.75" thickBot="1">
      <c r="B20" s="401" t="s">
        <v>405</v>
      </c>
      <c r="C20" s="402">
        <v>0.19</v>
      </c>
      <c r="D20" s="403"/>
      <c r="E20" s="404">
        <f t="shared" ref="E20:E27" si="1">D20*C20</f>
        <v>0</v>
      </c>
      <c r="G20" s="622"/>
      <c r="I20" s="401">
        <v>6</v>
      </c>
      <c r="J20" s="402"/>
      <c r="K20" s="403"/>
      <c r="L20" s="404"/>
      <c r="O20" s="563"/>
      <c r="P20" s="617"/>
      <c r="Q20" s="618"/>
      <c r="R20" s="618"/>
      <c r="S20" s="619"/>
    </row>
    <row r="21" spans="1:19" ht="15" customHeight="1" thickBot="1">
      <c r="B21" s="401" t="s">
        <v>406</v>
      </c>
      <c r="C21" s="402">
        <v>0.24</v>
      </c>
      <c r="D21" s="403"/>
      <c r="E21" s="404">
        <f t="shared" si="1"/>
        <v>0</v>
      </c>
      <c r="G21" s="622"/>
      <c r="I21" s="401">
        <v>7</v>
      </c>
      <c r="J21" s="402"/>
      <c r="K21" s="403"/>
      <c r="L21" s="404"/>
      <c r="P21" s="131" t="s">
        <v>37</v>
      </c>
      <c r="Q21" s="131" t="s">
        <v>22</v>
      </c>
      <c r="R21" s="131" t="s">
        <v>890</v>
      </c>
      <c r="S21" s="131" t="s">
        <v>32</v>
      </c>
    </row>
    <row r="22" spans="1:19" ht="15.75" customHeight="1">
      <c r="B22" s="401" t="s">
        <v>409</v>
      </c>
      <c r="C22" s="402">
        <v>0.28999999999999998</v>
      </c>
      <c r="D22" s="403"/>
      <c r="E22" s="404">
        <f t="shared" si="1"/>
        <v>0</v>
      </c>
      <c r="G22" s="622"/>
      <c r="I22" s="401">
        <v>8</v>
      </c>
      <c r="J22" s="402"/>
      <c r="K22" s="403"/>
      <c r="L22" s="404"/>
      <c r="P22" s="456" t="s">
        <v>65</v>
      </c>
      <c r="Q22" s="424"/>
      <c r="R22" s="425"/>
      <c r="S22" s="426"/>
    </row>
    <row r="23" spans="1:19">
      <c r="B23" s="401" t="s">
        <v>141</v>
      </c>
      <c r="C23" s="402">
        <v>0.41</v>
      </c>
      <c r="D23" s="403"/>
      <c r="E23" s="404">
        <f t="shared" si="1"/>
        <v>0</v>
      </c>
      <c r="G23" s="622"/>
      <c r="I23" s="401">
        <v>9</v>
      </c>
      <c r="J23" s="402"/>
      <c r="K23" s="403"/>
      <c r="L23" s="404"/>
      <c r="O23" s="114"/>
      <c r="P23" s="457" t="s">
        <v>405</v>
      </c>
      <c r="Q23" s="428"/>
      <c r="R23" s="409"/>
      <c r="S23" s="429"/>
    </row>
    <row r="24" spans="1:19">
      <c r="B24" s="401" t="s">
        <v>413</v>
      </c>
      <c r="C24" s="402">
        <v>0.66</v>
      </c>
      <c r="D24" s="403"/>
      <c r="E24" s="404">
        <f t="shared" si="1"/>
        <v>0</v>
      </c>
      <c r="G24" s="621"/>
      <c r="I24" s="401">
        <v>10</v>
      </c>
      <c r="J24" s="402"/>
      <c r="K24" s="403"/>
      <c r="L24" s="404"/>
      <c r="O24" s="114"/>
      <c r="P24" s="457" t="s">
        <v>426</v>
      </c>
      <c r="Q24" s="428"/>
      <c r="R24" s="409"/>
      <c r="S24" s="429"/>
    </row>
    <row r="25" spans="1:19">
      <c r="B25" s="401" t="s">
        <v>416</v>
      </c>
      <c r="C25" s="402">
        <v>0.98</v>
      </c>
      <c r="D25" s="403"/>
      <c r="E25" s="404">
        <f t="shared" si="1"/>
        <v>0</v>
      </c>
      <c r="G25" s="622"/>
      <c r="I25" s="401">
        <v>11</v>
      </c>
      <c r="J25" s="402"/>
      <c r="K25" s="403"/>
      <c r="L25" s="404"/>
      <c r="O25" s="114"/>
      <c r="P25" s="458" t="s">
        <v>895</v>
      </c>
      <c r="Q25" s="424"/>
      <c r="R25" s="425"/>
      <c r="S25" s="426"/>
    </row>
    <row r="26" spans="1:19" ht="15.75" thickBot="1">
      <c r="B26" s="401" t="s">
        <v>417</v>
      </c>
      <c r="C26" s="402">
        <v>1.4</v>
      </c>
      <c r="D26" s="403"/>
      <c r="E26" s="404">
        <f t="shared" si="1"/>
        <v>0</v>
      </c>
      <c r="G26" s="622"/>
      <c r="I26" s="405">
        <v>12</v>
      </c>
      <c r="J26" s="406"/>
      <c r="K26" s="407"/>
      <c r="L26" s="408"/>
      <c r="P26" s="457" t="s">
        <v>406</v>
      </c>
      <c r="Q26" s="424"/>
      <c r="R26" s="425"/>
      <c r="S26" s="426"/>
    </row>
    <row r="27" spans="1:19" ht="15.75" thickBot="1">
      <c r="B27" s="401"/>
      <c r="C27" s="402">
        <v>1.92</v>
      </c>
      <c r="D27" s="403"/>
      <c r="E27" s="404">
        <f t="shared" si="1"/>
        <v>0</v>
      </c>
      <c r="G27" s="622"/>
      <c r="I27" s="620" t="s">
        <v>36</v>
      </c>
      <c r="J27" s="620"/>
      <c r="K27" s="140">
        <f>SUM(K20:K26)</f>
        <v>0</v>
      </c>
      <c r="L27" s="141">
        <f>SUM(L20:L26)</f>
        <v>0</v>
      </c>
      <c r="P27" s="458" t="s">
        <v>141</v>
      </c>
      <c r="Q27" s="424"/>
      <c r="R27" s="425"/>
      <c r="S27" s="426"/>
    </row>
    <row r="28" spans="1:19" ht="15.75" thickBot="1">
      <c r="B28" s="136"/>
      <c r="C28" s="137"/>
      <c r="D28" s="138"/>
      <c r="E28" s="139"/>
      <c r="G28" s="622"/>
      <c r="P28" s="459" t="s">
        <v>416</v>
      </c>
      <c r="Q28" s="424"/>
      <c r="R28" s="425"/>
      <c r="S28" s="426"/>
    </row>
    <row r="29" spans="1:19" ht="15.75" thickBot="1">
      <c r="B29" s="620" t="s">
        <v>105</v>
      </c>
      <c r="C29" s="620"/>
      <c r="D29" s="140">
        <f>SUM(D19:D28)</f>
        <v>0</v>
      </c>
      <c r="E29" s="141">
        <f>SUM(E19:E28)</f>
        <v>0</v>
      </c>
      <c r="G29" s="622"/>
    </row>
    <row r="30" spans="1:19" ht="15.75" thickBot="1">
      <c r="B30" s="142"/>
      <c r="C30" s="142"/>
      <c r="E30" s="143"/>
      <c r="G30" s="622"/>
    </row>
    <row r="31" spans="1:19" ht="15.75" customHeight="1" thickBot="1">
      <c r="G31" s="622"/>
      <c r="O31" s="561" t="s">
        <v>421</v>
      </c>
      <c r="P31" s="614" t="s">
        <v>896</v>
      </c>
      <c r="Q31" s="615"/>
      <c r="R31" s="615"/>
      <c r="S31" s="616"/>
    </row>
    <row r="32" spans="1:19" ht="15.75" customHeight="1" thickBot="1">
      <c r="A32" s="561" t="s">
        <v>153</v>
      </c>
      <c r="B32" s="629" t="s">
        <v>897</v>
      </c>
      <c r="C32" s="630"/>
      <c r="D32" s="630"/>
      <c r="E32" s="631"/>
      <c r="G32" s="622"/>
      <c r="H32" s="561" t="s">
        <v>154</v>
      </c>
      <c r="I32" s="614" t="s">
        <v>898</v>
      </c>
      <c r="J32" s="615"/>
      <c r="K32" s="615"/>
      <c r="L32" s="616"/>
      <c r="O32" s="563"/>
      <c r="P32" s="617"/>
      <c r="Q32" s="618"/>
      <c r="R32" s="618"/>
      <c r="S32" s="619"/>
    </row>
    <row r="33" spans="1:19" ht="15.75" thickBot="1">
      <c r="A33" s="563"/>
      <c r="B33" s="632"/>
      <c r="C33" s="633"/>
      <c r="D33" s="633"/>
      <c r="E33" s="634"/>
      <c r="H33" s="563"/>
      <c r="I33" s="617"/>
      <c r="J33" s="618"/>
      <c r="K33" s="618"/>
      <c r="L33" s="619"/>
      <c r="P33" s="131" t="s">
        <v>37</v>
      </c>
      <c r="Q33" s="131" t="s">
        <v>22</v>
      </c>
      <c r="R33" s="131" t="s">
        <v>890</v>
      </c>
      <c r="S33" s="131" t="s">
        <v>32</v>
      </c>
    </row>
    <row r="34" spans="1:19" ht="15.75" thickBot="1">
      <c r="B34" s="131" t="s">
        <v>37</v>
      </c>
      <c r="C34" s="131" t="s">
        <v>22</v>
      </c>
      <c r="D34" s="131" t="s">
        <v>890</v>
      </c>
      <c r="E34" s="131" t="s">
        <v>32</v>
      </c>
      <c r="I34" s="131" t="s">
        <v>37</v>
      </c>
      <c r="J34" s="131" t="s">
        <v>22</v>
      </c>
      <c r="K34" s="131" t="s">
        <v>890</v>
      </c>
      <c r="L34" s="131" t="s">
        <v>32</v>
      </c>
      <c r="P34" s="442" t="s">
        <v>423</v>
      </c>
      <c r="Q34" s="424"/>
      <c r="R34" s="425"/>
      <c r="S34" s="426"/>
    </row>
    <row r="35" spans="1:19">
      <c r="B35" s="349"/>
      <c r="C35" s="350"/>
      <c r="D35" s="351"/>
      <c r="E35" s="352"/>
      <c r="I35" s="401" t="s">
        <v>404</v>
      </c>
      <c r="J35" s="424">
        <v>0.86</v>
      </c>
      <c r="K35" s="425"/>
      <c r="L35" s="426">
        <f>K35*J35</f>
        <v>0</v>
      </c>
      <c r="O35" s="114"/>
      <c r="P35" s="454" t="s">
        <v>425</v>
      </c>
      <c r="Q35" s="428"/>
      <c r="R35" s="409"/>
      <c r="S35" s="429"/>
    </row>
    <row r="36" spans="1:19">
      <c r="B36" s="401" t="s">
        <v>156</v>
      </c>
      <c r="C36" s="402">
        <v>0.36</v>
      </c>
      <c r="D36" s="409"/>
      <c r="E36" s="404">
        <f>C36*D36</f>
        <v>0</v>
      </c>
      <c r="I36" s="401" t="s">
        <v>164</v>
      </c>
      <c r="J36" s="428">
        <v>1.47</v>
      </c>
      <c r="K36" s="409"/>
      <c r="L36" s="429">
        <f t="shared" ref="L36:L47" si="2">K36*J36</f>
        <v>0</v>
      </c>
      <c r="O36" s="114"/>
      <c r="P36" s="428" t="s">
        <v>899</v>
      </c>
      <c r="Q36" s="428"/>
      <c r="R36" s="409"/>
      <c r="S36" s="429"/>
    </row>
    <row r="37" spans="1:19">
      <c r="B37" s="401" t="s">
        <v>407</v>
      </c>
      <c r="C37" s="402">
        <v>0.69</v>
      </c>
      <c r="D37" s="409"/>
      <c r="E37" s="404">
        <f t="shared" ref="E37:E43" si="3">C37*D37</f>
        <v>0</v>
      </c>
      <c r="I37" s="401" t="s">
        <v>25</v>
      </c>
      <c r="J37" s="428">
        <v>1.35</v>
      </c>
      <c r="K37" s="409"/>
      <c r="L37" s="429">
        <f t="shared" si="2"/>
        <v>0</v>
      </c>
      <c r="O37" s="114"/>
      <c r="P37" s="453" t="s">
        <v>427</v>
      </c>
      <c r="Q37" s="428"/>
      <c r="R37" s="409"/>
      <c r="S37" s="429"/>
    </row>
    <row r="38" spans="1:19">
      <c r="B38" s="401" t="s">
        <v>221</v>
      </c>
      <c r="C38" s="402">
        <v>1.18</v>
      </c>
      <c r="D38" s="409"/>
      <c r="E38" s="404">
        <f t="shared" si="3"/>
        <v>0</v>
      </c>
      <c r="I38" s="401" t="s">
        <v>408</v>
      </c>
      <c r="J38" s="428">
        <v>3.4</v>
      </c>
      <c r="K38" s="409"/>
      <c r="L38" s="429">
        <f t="shared" si="2"/>
        <v>0</v>
      </c>
      <c r="P38" s="428"/>
      <c r="Q38" s="428"/>
      <c r="R38" s="409"/>
      <c r="S38" s="429"/>
    </row>
    <row r="39" spans="1:19">
      <c r="B39" s="401" t="s">
        <v>411</v>
      </c>
      <c r="C39" s="402">
        <v>1.84</v>
      </c>
      <c r="D39" s="409"/>
      <c r="E39" s="404">
        <f t="shared" si="3"/>
        <v>0</v>
      </c>
      <c r="I39" s="401" t="s">
        <v>410</v>
      </c>
      <c r="J39" s="428">
        <v>4.8</v>
      </c>
      <c r="K39" s="409"/>
      <c r="L39" s="429">
        <f t="shared" si="2"/>
        <v>0</v>
      </c>
      <c r="P39" s="453"/>
      <c r="Q39" s="428"/>
      <c r="R39" s="409"/>
      <c r="S39" s="429"/>
    </row>
    <row r="40" spans="1:19">
      <c r="B40" s="401" t="s">
        <v>414</v>
      </c>
      <c r="C40" s="402">
        <v>2.72</v>
      </c>
      <c r="D40" s="409"/>
      <c r="E40" s="404">
        <f t="shared" si="3"/>
        <v>0</v>
      </c>
      <c r="I40" s="401" t="s">
        <v>412</v>
      </c>
      <c r="J40" s="428">
        <v>6.53</v>
      </c>
      <c r="K40" s="409"/>
      <c r="L40" s="429">
        <f t="shared" si="2"/>
        <v>0</v>
      </c>
      <c r="P40" s="446"/>
      <c r="Q40" s="428"/>
      <c r="R40" s="409"/>
      <c r="S40" s="429"/>
    </row>
    <row r="41" spans="1:19">
      <c r="B41" s="401" t="s">
        <v>163</v>
      </c>
      <c r="C41" s="402">
        <v>3.84</v>
      </c>
      <c r="D41" s="409"/>
      <c r="E41" s="404">
        <f t="shared" si="3"/>
        <v>0</v>
      </c>
      <c r="I41" s="401" t="s">
        <v>415</v>
      </c>
      <c r="J41" s="428">
        <v>8.64</v>
      </c>
      <c r="K41" s="409"/>
      <c r="L41" s="429">
        <f t="shared" si="2"/>
        <v>0</v>
      </c>
    </row>
    <row r="42" spans="1:19">
      <c r="B42" s="401" t="s">
        <v>165</v>
      </c>
      <c r="C42" s="402">
        <v>6.22</v>
      </c>
      <c r="D42" s="409"/>
      <c r="E42" s="404">
        <f t="shared" si="3"/>
        <v>0</v>
      </c>
      <c r="I42" s="405" t="s">
        <v>167</v>
      </c>
      <c r="J42" s="428">
        <v>11.76</v>
      </c>
      <c r="K42" s="409"/>
      <c r="L42" s="429">
        <f t="shared" si="2"/>
        <v>0</v>
      </c>
    </row>
    <row r="43" spans="1:19" ht="15.75" thickBot="1">
      <c r="B43" s="405" t="s">
        <v>167</v>
      </c>
      <c r="C43" s="406">
        <v>6.91</v>
      </c>
      <c r="D43" s="410"/>
      <c r="E43" s="404">
        <f t="shared" si="3"/>
        <v>0</v>
      </c>
      <c r="I43" s="430" t="s">
        <v>297</v>
      </c>
      <c r="J43" s="428">
        <v>14.11</v>
      </c>
      <c r="K43" s="409"/>
      <c r="L43" s="429">
        <f t="shared" si="2"/>
        <v>0</v>
      </c>
    </row>
    <row r="44" spans="1:19" ht="15.75" thickBot="1">
      <c r="B44" s="635" t="s">
        <v>153</v>
      </c>
      <c r="C44" s="636"/>
      <c r="D44" s="144">
        <f>SUM(D35:D43)</f>
        <v>0</v>
      </c>
      <c r="E44" s="145">
        <f>SUM(E35:E43)</f>
        <v>0</v>
      </c>
      <c r="I44" s="427" t="s">
        <v>298</v>
      </c>
      <c r="J44" s="428">
        <v>18.43</v>
      </c>
      <c r="K44" s="409"/>
      <c r="L44" s="429">
        <f t="shared" si="2"/>
        <v>0</v>
      </c>
    </row>
    <row r="45" spans="1:19">
      <c r="I45" s="427" t="s">
        <v>299</v>
      </c>
      <c r="J45" s="428">
        <v>25.27</v>
      </c>
      <c r="K45" s="409"/>
      <c r="L45" s="429">
        <f t="shared" si="2"/>
        <v>0</v>
      </c>
    </row>
    <row r="46" spans="1:19" ht="15.75" thickBot="1">
      <c r="I46" s="427" t="s">
        <v>300</v>
      </c>
      <c r="J46" s="428">
        <v>36</v>
      </c>
      <c r="K46" s="409"/>
      <c r="L46" s="429">
        <f t="shared" si="2"/>
        <v>0</v>
      </c>
    </row>
    <row r="47" spans="1:19" ht="15.75" thickBot="1">
      <c r="A47" s="561" t="s">
        <v>33</v>
      </c>
      <c r="B47" s="637" t="s">
        <v>900</v>
      </c>
      <c r="C47" s="638"/>
      <c r="D47" s="638"/>
      <c r="E47" s="639"/>
      <c r="I47" s="431" t="s">
        <v>303</v>
      </c>
      <c r="J47" s="432">
        <v>67.5</v>
      </c>
      <c r="K47" s="410"/>
      <c r="L47" s="433">
        <f t="shared" si="2"/>
        <v>0</v>
      </c>
    </row>
    <row r="48" spans="1:19" ht="15.75" thickBot="1">
      <c r="A48" s="563"/>
      <c r="B48" s="640"/>
      <c r="C48" s="641"/>
      <c r="D48" s="641"/>
      <c r="E48" s="642"/>
      <c r="F48" s="146"/>
      <c r="I48" s="620" t="s">
        <v>154</v>
      </c>
      <c r="J48" s="620"/>
      <c r="K48" s="158">
        <f>SUM(K35:K47)</f>
        <v>0</v>
      </c>
      <c r="L48" s="159">
        <f>SUM(L35:L47)</f>
        <v>0</v>
      </c>
      <c r="M48" s="114"/>
      <c r="N48" s="114"/>
      <c r="O48" s="114"/>
      <c r="P48" s="114"/>
    </row>
    <row r="49" spans="2:16" s="147" customFormat="1" ht="13.5" thickBot="1">
      <c r="B49" s="131" t="s">
        <v>37</v>
      </c>
      <c r="C49" s="131" t="s">
        <v>22</v>
      </c>
      <c r="D49" s="131" t="s">
        <v>890</v>
      </c>
      <c r="E49" s="131" t="s">
        <v>32</v>
      </c>
      <c r="F49" s="148"/>
      <c r="H49" s="149"/>
      <c r="M49" s="149"/>
      <c r="N49" s="149"/>
      <c r="O49" s="149"/>
      <c r="P49" s="149"/>
    </row>
    <row r="50" spans="2:16" ht="15.75" thickBot="1">
      <c r="B50" s="411">
        <v>1</v>
      </c>
      <c r="C50" s="412">
        <v>0.01</v>
      </c>
      <c r="D50" s="413"/>
      <c r="E50" s="404">
        <f>D50*C50</f>
        <v>0</v>
      </c>
      <c r="F50" s="146"/>
      <c r="H50" s="114"/>
      <c r="M50" s="114"/>
      <c r="N50" s="114"/>
      <c r="O50" s="114"/>
      <c r="P50" s="114"/>
    </row>
    <row r="51" spans="2:16" ht="15" customHeight="1">
      <c r="B51" s="411">
        <v>1.1000000000000001</v>
      </c>
      <c r="C51" s="412">
        <v>0.01</v>
      </c>
      <c r="D51" s="413"/>
      <c r="E51" s="404">
        <f t="shared" ref="E51:E64" si="4">D51*C51</f>
        <v>0</v>
      </c>
      <c r="F51" s="146"/>
      <c r="H51" s="561" t="s">
        <v>35</v>
      </c>
      <c r="I51" s="614" t="s">
        <v>901</v>
      </c>
      <c r="J51" s="615"/>
      <c r="K51" s="615"/>
      <c r="L51" s="616"/>
      <c r="M51" s="114"/>
      <c r="N51" s="114"/>
      <c r="O51" s="114"/>
      <c r="P51" s="114"/>
    </row>
    <row r="52" spans="2:16" ht="15.75" customHeight="1" thickBot="1">
      <c r="B52" s="411">
        <v>1.2</v>
      </c>
      <c r="C52" s="412">
        <v>0.01</v>
      </c>
      <c r="D52" s="414"/>
      <c r="E52" s="404">
        <f t="shared" si="4"/>
        <v>0</v>
      </c>
      <c r="F52" s="146"/>
      <c r="H52" s="563"/>
      <c r="I52" s="617"/>
      <c r="J52" s="618"/>
      <c r="K52" s="618"/>
      <c r="L52" s="619"/>
      <c r="M52" s="114"/>
      <c r="N52" s="114"/>
      <c r="O52" s="114"/>
      <c r="P52" s="114"/>
    </row>
    <row r="53" spans="2:16" ht="15.75" thickBot="1">
      <c r="B53" s="411">
        <v>1.3</v>
      </c>
      <c r="C53" s="412">
        <v>0.02</v>
      </c>
      <c r="D53" s="413"/>
      <c r="E53" s="404">
        <f t="shared" si="4"/>
        <v>0</v>
      </c>
      <c r="F53" s="146"/>
      <c r="H53" s="450"/>
      <c r="I53" s="131" t="s">
        <v>37</v>
      </c>
      <c r="J53" s="131" t="s">
        <v>22</v>
      </c>
      <c r="K53" s="131" t="s">
        <v>890</v>
      </c>
      <c r="L53" s="131" t="s">
        <v>32</v>
      </c>
      <c r="M53" s="114"/>
      <c r="N53" s="114"/>
      <c r="O53" s="114"/>
      <c r="P53" s="114"/>
    </row>
    <row r="54" spans="2:16">
      <c r="B54" s="415">
        <v>1.4</v>
      </c>
      <c r="C54" s="402">
        <v>0.03</v>
      </c>
      <c r="D54" s="409"/>
      <c r="E54" s="404">
        <f t="shared" si="4"/>
        <v>0</v>
      </c>
      <c r="F54" s="146"/>
      <c r="H54" s="450"/>
      <c r="I54" s="442">
        <v>1.5</v>
      </c>
      <c r="J54" s="424"/>
      <c r="K54" s="425"/>
      <c r="L54" s="426"/>
      <c r="M54" s="114"/>
      <c r="N54" s="114"/>
      <c r="O54" s="114"/>
      <c r="P54" s="114"/>
    </row>
    <row r="55" spans="2:16">
      <c r="B55" s="415">
        <v>1.5</v>
      </c>
      <c r="C55" s="402">
        <v>0.06</v>
      </c>
      <c r="D55" s="409"/>
      <c r="E55" s="404">
        <f t="shared" si="4"/>
        <v>0</v>
      </c>
      <c r="F55" s="146"/>
      <c r="H55" s="452"/>
      <c r="I55" s="427">
        <v>1.75</v>
      </c>
      <c r="J55" s="428"/>
      <c r="K55" s="409"/>
      <c r="L55" s="429"/>
      <c r="M55" s="114"/>
      <c r="N55" s="114"/>
      <c r="O55" s="114"/>
      <c r="P55" s="114"/>
    </row>
    <row r="56" spans="2:16">
      <c r="B56" s="415">
        <v>1.6</v>
      </c>
      <c r="C56" s="402">
        <v>0.1</v>
      </c>
      <c r="D56" s="409"/>
      <c r="E56" s="404">
        <f t="shared" si="4"/>
        <v>0</v>
      </c>
      <c r="F56" s="146"/>
      <c r="H56" s="452"/>
      <c r="I56" s="427">
        <v>2</v>
      </c>
      <c r="J56" s="428"/>
      <c r="K56" s="409"/>
      <c r="L56" s="429"/>
      <c r="M56" s="114"/>
      <c r="N56" s="114"/>
      <c r="O56" s="114"/>
      <c r="P56" s="114"/>
    </row>
    <row r="57" spans="2:16">
      <c r="B57" s="415">
        <v>1.7</v>
      </c>
      <c r="C57" s="402">
        <v>0.15</v>
      </c>
      <c r="D57" s="409"/>
      <c r="E57" s="404">
        <f t="shared" si="4"/>
        <v>0</v>
      </c>
      <c r="F57" s="146"/>
      <c r="H57" s="452"/>
      <c r="I57" s="442">
        <v>2.25</v>
      </c>
      <c r="J57" s="424"/>
      <c r="K57" s="425"/>
      <c r="L57" s="426"/>
      <c r="M57" s="114"/>
      <c r="N57" s="114"/>
      <c r="O57" s="114"/>
      <c r="P57" s="114"/>
    </row>
    <row r="58" spans="2:16" ht="15" customHeight="1">
      <c r="B58" s="415">
        <v>1.8</v>
      </c>
      <c r="C58" s="402">
        <v>0.23</v>
      </c>
      <c r="D58" s="409"/>
      <c r="E58" s="404">
        <f t="shared" si="4"/>
        <v>0</v>
      </c>
      <c r="F58" s="146"/>
      <c r="H58" s="452"/>
      <c r="I58" s="442">
        <v>2.5</v>
      </c>
      <c r="J58" s="424"/>
      <c r="K58" s="425"/>
      <c r="L58" s="426"/>
      <c r="M58" s="114"/>
      <c r="N58" s="114"/>
      <c r="O58" s="114"/>
      <c r="P58" s="114"/>
    </row>
    <row r="59" spans="2:16" ht="15.75" customHeight="1">
      <c r="B59" s="415">
        <v>1.9</v>
      </c>
      <c r="C59" s="402">
        <v>0.33</v>
      </c>
      <c r="D59" s="409"/>
      <c r="E59" s="404">
        <f t="shared" si="4"/>
        <v>0</v>
      </c>
      <c r="F59" s="146"/>
      <c r="H59" s="114"/>
      <c r="I59" s="442">
        <v>3</v>
      </c>
      <c r="J59" s="424"/>
      <c r="K59" s="425"/>
      <c r="L59" s="426"/>
      <c r="M59" s="114"/>
      <c r="N59" s="114"/>
      <c r="O59" s="114"/>
      <c r="P59" s="114"/>
    </row>
    <row r="60" spans="2:16" ht="15.75" thickBot="1">
      <c r="B60" s="415">
        <v>2</v>
      </c>
      <c r="C60" s="402">
        <v>0.45</v>
      </c>
      <c r="D60" s="409"/>
      <c r="E60" s="404">
        <f t="shared" si="4"/>
        <v>0</v>
      </c>
      <c r="F60" s="150"/>
      <c r="H60" s="114"/>
      <c r="I60" s="442">
        <v>4</v>
      </c>
      <c r="J60" s="424"/>
      <c r="K60" s="425"/>
      <c r="L60" s="426"/>
      <c r="M60" s="114"/>
      <c r="N60" s="114"/>
      <c r="O60" s="114"/>
      <c r="P60" s="114"/>
    </row>
    <row r="61" spans="2:16">
      <c r="B61" s="415"/>
      <c r="C61" s="402">
        <v>0.6</v>
      </c>
      <c r="D61" s="409"/>
      <c r="E61" s="404">
        <f t="shared" si="4"/>
        <v>0</v>
      </c>
      <c r="F61" s="150"/>
      <c r="H61" s="644"/>
      <c r="I61" s="646"/>
      <c r="J61" s="647"/>
      <c r="K61" s="647"/>
      <c r="L61" s="648"/>
      <c r="M61" s="114"/>
      <c r="N61" s="114"/>
      <c r="O61" s="114"/>
      <c r="P61" s="114"/>
    </row>
    <row r="62" spans="2:16" ht="15.75" thickBot="1">
      <c r="B62" s="415"/>
      <c r="C62" s="402">
        <v>0.78</v>
      </c>
      <c r="D62" s="409"/>
      <c r="E62" s="404">
        <f t="shared" si="4"/>
        <v>0</v>
      </c>
      <c r="F62" s="150"/>
      <c r="H62" s="645"/>
      <c r="I62" s="649"/>
      <c r="J62" s="650"/>
      <c r="K62" s="650"/>
      <c r="L62" s="651"/>
      <c r="M62" s="114"/>
      <c r="N62" s="114"/>
      <c r="O62" s="114"/>
      <c r="P62" s="114"/>
    </row>
    <row r="63" spans="2:16" ht="15.75" thickBot="1">
      <c r="B63" s="415"/>
      <c r="C63" s="402">
        <v>0.99</v>
      </c>
      <c r="D63" s="409"/>
      <c r="E63" s="404">
        <f t="shared" si="4"/>
        <v>0</v>
      </c>
      <c r="F63" s="150"/>
      <c r="H63" s="450"/>
      <c r="I63" s="451"/>
      <c r="J63" s="451"/>
      <c r="K63" s="451"/>
      <c r="L63" s="451"/>
      <c r="M63" s="114"/>
      <c r="N63" s="114"/>
      <c r="O63" s="114"/>
      <c r="P63" s="114"/>
    </row>
    <row r="64" spans="2:16">
      <c r="B64" s="415"/>
      <c r="C64" s="402">
        <v>1.23</v>
      </c>
      <c r="D64" s="409"/>
      <c r="E64" s="404">
        <f t="shared" si="4"/>
        <v>0</v>
      </c>
      <c r="F64" s="150"/>
      <c r="H64" s="450"/>
      <c r="I64" s="446"/>
      <c r="J64" s="447"/>
      <c r="K64" s="448"/>
      <c r="L64" s="449"/>
      <c r="M64" s="114"/>
      <c r="N64" s="114"/>
      <c r="O64" s="114"/>
      <c r="P64" s="114"/>
    </row>
    <row r="65" spans="2:16">
      <c r="B65" s="416"/>
      <c r="C65" s="417"/>
      <c r="D65" s="418"/>
      <c r="E65" s="419"/>
      <c r="F65" s="150"/>
      <c r="H65" s="452"/>
      <c r="I65" s="443"/>
      <c r="J65" s="444"/>
      <c r="K65" s="418"/>
      <c r="L65" s="445"/>
      <c r="M65" s="114"/>
      <c r="N65" s="114"/>
      <c r="O65" s="114"/>
      <c r="P65" s="114"/>
    </row>
    <row r="66" spans="2:16" ht="15.75" thickBot="1">
      <c r="B66" s="420"/>
      <c r="C66" s="421"/>
      <c r="D66" s="422"/>
      <c r="E66" s="423"/>
      <c r="F66" s="150"/>
      <c r="H66" s="452"/>
      <c r="I66" s="443"/>
      <c r="J66" s="444"/>
      <c r="K66" s="418"/>
      <c r="L66" s="445"/>
      <c r="M66" s="114"/>
      <c r="N66" s="114"/>
      <c r="O66" s="114"/>
      <c r="P66" s="114"/>
    </row>
    <row r="67" spans="2:16" ht="15.75" thickBot="1">
      <c r="B67" s="643" t="s">
        <v>33</v>
      </c>
      <c r="C67" s="643"/>
      <c r="D67" s="151">
        <f>SUM(D50:D66)</f>
        <v>0</v>
      </c>
      <c r="E67" s="152">
        <f>SUM(E50:E66)</f>
        <v>0</v>
      </c>
      <c r="F67" s="153"/>
      <c r="H67" s="452"/>
      <c r="I67" s="446"/>
      <c r="J67" s="447"/>
      <c r="K67" s="448"/>
      <c r="L67" s="449"/>
      <c r="M67" s="114"/>
      <c r="N67" s="114"/>
      <c r="O67" s="114"/>
      <c r="P67" s="114"/>
    </row>
    <row r="68" spans="2:16">
      <c r="F68" s="154"/>
      <c r="H68" s="114"/>
      <c r="I68" s="114"/>
      <c r="J68" s="114"/>
      <c r="K68" s="114"/>
      <c r="L68" s="114"/>
      <c r="M68" s="114"/>
      <c r="N68" s="114"/>
      <c r="O68" s="114"/>
      <c r="P68" s="114"/>
    </row>
    <row r="69" spans="2:16" ht="15.75" customHeight="1" thickBot="1">
      <c r="F69" s="154"/>
      <c r="H69" s="114"/>
      <c r="I69" s="114"/>
      <c r="J69" s="114"/>
      <c r="K69" s="114"/>
      <c r="L69" s="114"/>
      <c r="M69" s="114"/>
      <c r="N69" s="114"/>
      <c r="O69" s="114"/>
      <c r="P69" s="114"/>
    </row>
    <row r="70" spans="2:16">
      <c r="F70" s="155"/>
      <c r="H70" s="561"/>
      <c r="I70" s="614"/>
      <c r="J70" s="615"/>
      <c r="K70" s="615"/>
      <c r="L70" s="616"/>
    </row>
    <row r="71" spans="2:16" ht="15.75" thickBot="1">
      <c r="F71" s="156"/>
      <c r="H71" s="563"/>
      <c r="I71" s="617"/>
      <c r="J71" s="618"/>
      <c r="K71" s="618"/>
      <c r="L71" s="619"/>
    </row>
    <row r="72" spans="2:16" ht="15.75" thickBot="1">
      <c r="F72" s="150"/>
      <c r="I72" s="131"/>
      <c r="J72" s="131"/>
      <c r="K72" s="131"/>
      <c r="L72" s="131"/>
    </row>
    <row r="73" spans="2:16">
      <c r="F73" s="150"/>
      <c r="I73" s="442"/>
      <c r="J73" s="424"/>
      <c r="K73" s="425"/>
      <c r="L73" s="426"/>
    </row>
    <row r="74" spans="2:16">
      <c r="F74" s="150"/>
      <c r="H74" s="114"/>
      <c r="I74" s="427"/>
      <c r="J74" s="428"/>
      <c r="K74" s="409"/>
      <c r="L74" s="429"/>
    </row>
    <row r="75" spans="2:16">
      <c r="F75" s="150"/>
      <c r="H75" s="114"/>
      <c r="I75" s="427"/>
      <c r="J75" s="428"/>
      <c r="K75" s="409"/>
      <c r="L75" s="429"/>
    </row>
    <row r="76" spans="2:16">
      <c r="F76" s="150"/>
      <c r="H76" s="114"/>
      <c r="I76" s="442"/>
      <c r="J76" s="424"/>
      <c r="K76" s="425"/>
      <c r="L76" s="426"/>
    </row>
    <row r="77" spans="2:16">
      <c r="F77" s="150"/>
      <c r="I77" s="442"/>
      <c r="J77" s="424"/>
      <c r="K77" s="425"/>
      <c r="L77" s="426"/>
    </row>
    <row r="78" spans="2:16">
      <c r="F78" s="150"/>
      <c r="I78" s="442"/>
      <c r="J78" s="424"/>
      <c r="K78" s="425"/>
      <c r="L78" s="426"/>
    </row>
    <row r="79" spans="2:16">
      <c r="F79" s="150"/>
      <c r="I79" s="442"/>
      <c r="J79" s="424"/>
      <c r="K79" s="425"/>
      <c r="L79" s="426"/>
    </row>
    <row r="80" spans="2:16">
      <c r="F80" s="150"/>
    </row>
    <row r="81" spans="6:12" ht="15.75" thickBot="1">
      <c r="F81" s="146"/>
    </row>
    <row r="82" spans="6:12">
      <c r="F82" s="146"/>
      <c r="H82" s="561"/>
      <c r="I82" s="614"/>
      <c r="J82" s="615"/>
      <c r="K82" s="615"/>
      <c r="L82" s="616"/>
    </row>
    <row r="83" spans="6:12" ht="15.75" thickBot="1">
      <c r="F83" s="146"/>
      <c r="H83" s="563"/>
      <c r="I83" s="617"/>
      <c r="J83" s="618"/>
      <c r="K83" s="618"/>
      <c r="L83" s="619"/>
    </row>
    <row r="84" spans="6:12" ht="15.75" thickBot="1">
      <c r="F84" s="146"/>
      <c r="I84" s="131"/>
      <c r="J84" s="131"/>
      <c r="K84" s="131"/>
      <c r="L84" s="131"/>
    </row>
    <row r="85" spans="6:12">
      <c r="F85" s="160"/>
      <c r="I85" s="442"/>
      <c r="J85" s="424"/>
      <c r="K85" s="425"/>
      <c r="L85" s="426"/>
    </row>
    <row r="86" spans="6:12">
      <c r="H86" s="114"/>
      <c r="I86" s="427"/>
      <c r="J86" s="428"/>
      <c r="K86" s="409"/>
      <c r="L86" s="429"/>
    </row>
    <row r="87" spans="6:12">
      <c r="H87" s="114"/>
      <c r="I87" s="443"/>
      <c r="J87" s="444"/>
      <c r="K87" s="418"/>
      <c r="L87" s="445"/>
    </row>
    <row r="88" spans="6:12">
      <c r="H88" s="114"/>
      <c r="I88" s="446"/>
      <c r="J88" s="447"/>
      <c r="K88" s="448"/>
      <c r="L88" s="449"/>
    </row>
    <row r="89" spans="6:12">
      <c r="I89" s="446"/>
      <c r="J89" s="447"/>
      <c r="K89" s="448"/>
      <c r="L89" s="449"/>
    </row>
    <row r="90" spans="6:12">
      <c r="I90" s="446"/>
      <c r="J90" s="447"/>
      <c r="K90" s="448"/>
      <c r="L90" s="449"/>
    </row>
    <row r="91" spans="6:12">
      <c r="I91" s="446"/>
      <c r="J91" s="447"/>
      <c r="K91" s="448"/>
      <c r="L91" s="449"/>
    </row>
  </sheetData>
  <mergeCells count="40">
    <mergeCell ref="O31:O32"/>
    <mergeCell ref="P31:S32"/>
    <mergeCell ref="O2:O3"/>
    <mergeCell ref="P2:S3"/>
    <mergeCell ref="O11:O12"/>
    <mergeCell ref="P11:S12"/>
    <mergeCell ref="O19:O20"/>
    <mergeCell ref="P19:S20"/>
    <mergeCell ref="B67:C67"/>
    <mergeCell ref="H32:H33"/>
    <mergeCell ref="I32:L33"/>
    <mergeCell ref="I48:J48"/>
    <mergeCell ref="H61:H62"/>
    <mergeCell ref="I61:L62"/>
    <mergeCell ref="B29:C29"/>
    <mergeCell ref="A32:A33"/>
    <mergeCell ref="B32:E33"/>
    <mergeCell ref="B44:C44"/>
    <mergeCell ref="A47:A48"/>
    <mergeCell ref="B47:E48"/>
    <mergeCell ref="A2:A3"/>
    <mergeCell ref="B2:E3"/>
    <mergeCell ref="B13:C13"/>
    <mergeCell ref="A16:A17"/>
    <mergeCell ref="B16:E17"/>
    <mergeCell ref="G6:G14"/>
    <mergeCell ref="G15:G23"/>
    <mergeCell ref="G24:G32"/>
    <mergeCell ref="H2:H3"/>
    <mergeCell ref="I2:L3"/>
    <mergeCell ref="I13:J13"/>
    <mergeCell ref="H16:H17"/>
    <mergeCell ref="I16:L17"/>
    <mergeCell ref="H70:H71"/>
    <mergeCell ref="I70:L71"/>
    <mergeCell ref="H82:H83"/>
    <mergeCell ref="I82:L83"/>
    <mergeCell ref="I27:J27"/>
    <mergeCell ref="H51:H52"/>
    <mergeCell ref="I51:L52"/>
  </mergeCells>
  <conditionalFormatting sqref="P34:P37">
    <cfRule type="duplicateValues" dxfId="3" priority="4"/>
  </conditionalFormatting>
  <conditionalFormatting sqref="P14:P15">
    <cfRule type="duplicateValues" dxfId="2" priority="3"/>
  </conditionalFormatting>
  <conditionalFormatting sqref="P14:P15">
    <cfRule type="duplicateValues" dxfId="1" priority="2"/>
  </conditionalFormatting>
  <conditionalFormatting sqref="P5:P8">
    <cfRule type="duplicateValues" dxfId="0" priority="1"/>
  </conditionalFormatting>
  <dataValidations disablePrompts="1" count="1">
    <dataValidation type="whole" allowBlank="1" showInputMessage="1" showErrorMessage="1" errorTitle="WRONG ENTRY" error="INPUT WHOLE NUMBER ONLY. CLICK RETRY TO INPUT VALID WHOLE NUMBER BETWEEN 1 TO 100000._x000a_THANKING YOU_x000a_VINAY SAWANT" promptTitle="NUMBER" prompt="INPUT WHOLE NUMBERS BETWEEN 1-100000" sqref="D52" xr:uid="{00000000-0002-0000-0900-000000000000}">
      <formula1>1</formula1>
      <formula2>100000</formula2>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8F561474F7D4A9CF05DD87AF7863B" ma:contentTypeVersion="21" ma:contentTypeDescription="Create a new document." ma:contentTypeScope="" ma:versionID="dec8b92d1fb9b516f646163e9270df4a">
  <xsd:schema xmlns:xsd="http://www.w3.org/2001/XMLSchema" xmlns:xs="http://www.w3.org/2001/XMLSchema" xmlns:p="http://schemas.microsoft.com/office/2006/metadata/properties" xmlns:ns2="85c25e24-5df4-4565-8915-18702875bf75" xmlns:ns3="31346cbe-5bd2-40e4-93f1-2198ffccb4a1" targetNamespace="http://schemas.microsoft.com/office/2006/metadata/properties" ma:root="true" ma:fieldsID="0c91e845878601ce389f3ed8b8f92c72" ns2:_="" ns3:_="">
    <xsd:import namespace="85c25e24-5df4-4565-8915-18702875bf75"/>
    <xsd:import namespace="31346cbe-5bd2-40e4-93f1-2198ffccb4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omments" minOccurs="0"/>
                <xsd:element ref="ns2:DesignNumber" minOccurs="0"/>
                <xsd:element ref="ns2:Variations" minOccurs="0"/>
                <xsd:element ref="ns2:CommentsonCAD" minOccurs="0"/>
                <xsd:element ref="ns2:ReferenceImageifAny" minOccurs="0"/>
                <xsd:element ref="ns2:DesignLink" minOccurs="0"/>
                <xsd:element ref="ns2:VariantCount" minOccurs="0"/>
                <xsd:element ref="ns2:MonikaMaamApprova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c25e24-5df4-4565-8915-18702875bf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9c088cb5-b851-49e8-a8c7-3a21fd0215a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omments" ma:index="20" nillable="true" ma:displayName="Comments" ma:format="Dropdown" ma:internalName="Comments">
      <xsd:simpleType>
        <xsd:restriction base="dms:Note">
          <xsd:maxLength value="255"/>
        </xsd:restriction>
      </xsd:simpleType>
    </xsd:element>
    <xsd:element name="DesignNumber" ma:index="21" nillable="true" ma:displayName="Design Number" ma:format="Dropdown" ma:internalName="DesignNumber">
      <xsd:simpleType>
        <xsd:restriction base="dms:Note">
          <xsd:maxLength value="255"/>
        </xsd:restriction>
      </xsd:simpleType>
    </xsd:element>
    <xsd:element name="Variations" ma:index="22" nillable="true" ma:displayName="Variations" ma:format="Dropdown" ma:internalName="Variations">
      <xsd:simpleType>
        <xsd:restriction base="dms:Note"/>
      </xsd:simpleType>
    </xsd:element>
    <xsd:element name="CommentsonCAD" ma:index="23" nillable="true" ma:displayName="Comments on CAD" ma:format="Dropdown" ma:internalName="CommentsonCAD">
      <xsd:simpleType>
        <xsd:restriction base="dms:Note"/>
      </xsd:simpleType>
    </xsd:element>
    <xsd:element name="ReferenceImageifAny" ma:index="24" nillable="true" ma:displayName="Reference Image if Any" ma:format="Thumbnail" ma:internalName="ReferenceImageifAny">
      <xsd:simpleType>
        <xsd:restriction base="dms:Unknown"/>
      </xsd:simpleType>
    </xsd:element>
    <xsd:element name="DesignLink" ma:index="25" nillable="true" ma:displayName="Design Link" ma:format="Dropdown" ma:internalName="DesignLink">
      <xsd:simpleType>
        <xsd:restriction base="dms:Note">
          <xsd:maxLength value="255"/>
        </xsd:restriction>
      </xsd:simpleType>
    </xsd:element>
    <xsd:element name="VariantCount" ma:index="26" nillable="true" ma:displayName="Variant Count" ma:format="Dropdown" ma:internalName="VariantCount" ma:percentage="FALSE">
      <xsd:simpleType>
        <xsd:restriction base="dms:Number"/>
      </xsd:simpleType>
    </xsd:element>
    <xsd:element name="MonikaMaamApproval" ma:index="27" nillable="true" ma:displayName="Monika Maam Approval" ma:format="Dropdown" ma:internalName="MonikaMaamApproval">
      <xsd:simpleType>
        <xsd:restriction base="dms:Text">
          <xsd:maxLength value="255"/>
        </xsd:restriction>
      </xsd:simpleType>
    </xsd:element>
    <xsd:element name="MediaServiceLocation" ma:index="28"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1346cbe-5bd2-40e4-93f1-2198ffccb4a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9670fbc-d118-4193-ba6b-3cc3632dc89c}" ma:internalName="TaxCatchAll" ma:showField="CatchAllData" ma:web="31346cbe-5bd2-40e4-93f1-2198ffccb4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1346cbe-5bd2-40e4-93f1-2198ffccb4a1" xsi:nil="true"/>
    <DesignLink xmlns="85c25e24-5df4-4565-8915-18702875bf75" xsi:nil="true"/>
    <MonikaMaamApproval xmlns="85c25e24-5df4-4565-8915-18702875bf75" xsi:nil="true"/>
    <Variations xmlns="85c25e24-5df4-4565-8915-18702875bf75" xsi:nil="true"/>
    <lcf76f155ced4ddcb4097134ff3c332f xmlns="85c25e24-5df4-4565-8915-18702875bf75">
      <Terms xmlns="http://schemas.microsoft.com/office/infopath/2007/PartnerControls"/>
    </lcf76f155ced4ddcb4097134ff3c332f>
    <Comments xmlns="85c25e24-5df4-4565-8915-18702875bf75" xsi:nil="true"/>
    <VariantCount xmlns="85c25e24-5df4-4565-8915-18702875bf75" xsi:nil="true"/>
    <DesignNumber xmlns="85c25e24-5df4-4565-8915-18702875bf75" xsi:nil="true"/>
    <ReferenceImageifAny xmlns="85c25e24-5df4-4565-8915-18702875bf75" xsi:nil="true"/>
    <CommentsonCAD xmlns="85c25e24-5df4-4565-8915-18702875bf7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ECDDFA9-BAFF-4F2C-9074-BC9305AD0ADF}"/>
</file>

<file path=customXml/itemProps2.xml><?xml version="1.0" encoding="utf-8"?>
<ds:datastoreItem xmlns:ds="http://schemas.openxmlformats.org/officeDocument/2006/customXml" ds:itemID="{2D4A0B83-5E01-471F-99AF-49B80593A38E}"/>
</file>

<file path=customXml/itemProps3.xml><?xml version="1.0" encoding="utf-8"?>
<ds:datastoreItem xmlns:ds="http://schemas.openxmlformats.org/officeDocument/2006/customXml" ds:itemID="{ACB43F89-43B2-4111-A27A-7C1F92F4D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Dhanashri Jagdale</cp:lastModifiedBy>
  <cp:revision/>
  <dcterms:created xsi:type="dcterms:W3CDTF">2018-04-24T06:36:29Z</dcterms:created>
  <dcterms:modified xsi:type="dcterms:W3CDTF">2025-12-01T10:19:19Z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0x0101004BC8F561474F7D4A9CF05DD87AF7863B</vt:lpwstr>
  </property>
  <property fmtid="{D5CDD505-2E9C-101B-9397-08002B2CF9AE}" pid="3" name="MediaServiceImageTags">
    <vt:lpwstr/>
  </property>
</Properties>
</file>