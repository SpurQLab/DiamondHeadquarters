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15E696C40022D4A84E9203625F9A8CE80F081C51"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<sst xmlns="http://schemas.openxmlformats.org/spreadsheetml/2006/main" count="1655" uniqueCount="902">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</sst>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5" sqref="E5"/>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11.371139314797153</v>
      </c>
      <c r="L4" s="221"/>
      <c r="M4" s="362"/>
      <c r="P4" s="219"/>
      <c r="Q4" s="219"/>
      <c r="R4" s="219"/>
      <c r="S4" s="219"/>
    </row>
    <row r="5" spans="3:19" ht="15.75" customHeight="1" thickBot="1">
      <c r="C5" s="489" t="s">
        <v>4</v>
      </c>
      <c r="D5" s="367" t="s">
        <v>5</v>
      </c>
      <c r="E5" s="473">
        <v>3.17</v>
      </c>
      <c r="F5" s="367" t="s">
        <v>6</v>
      </c>
      <c r="G5" s="368">
        <f>E5*0.75</f>
        <v>2.3774999999999999</v>
      </c>
      <c r="H5" s="494" t="s">
        <v>7</v>
      </c>
      <c r="J5" s="365" t="s">
        <v>8</v>
      </c>
      <c r="K5" s="366">
        <f>H39/E6</f>
        <v>0.52087154280683734</v>
      </c>
      <c r="L5" s="221"/>
      <c r="M5" s="362"/>
      <c r="P5" s="491" t="s">
        <v>9</v>
      </c>
      <c r="Q5" s="492"/>
      <c r="R5" s="492"/>
      <c r="S5" s="493"/>
    </row>
    <row r="6" spans="3:19" ht="15.75" customHeight="1" thickBot="1">
      <c r="C6" s="490"/>
      <c r="D6" s="470" t="s">
        <v>10</v>
      </c>
      <c r="E6" s="471">
        <f>E5*0.86</f>
        <v>2.7262</v>
      </c>
      <c r="F6" s="472" t="s">
        <v>11</v>
      </c>
      <c r="G6" s="471">
        <f>E5*0.7</f>
        <v>2.2189999999999999</v>
      </c>
      <c r="H6" s="495"/>
      <c r="J6" s="365"/>
      <c r="K6" s="366"/>
      <c r="L6" s="221"/>
      <c r="M6" s="362"/>
      <c r="P6" s="467"/>
      <c r="Q6" s="468"/>
      <c r="R6" s="468"/>
      <c r="S6" s="469"/>
    </row>
    <row r="7" spans="3:19" ht="15.75" customHeight="1" thickBot="1">
      <c r="C7" s="652"/>
      <c r="D7" s="503" t="s">
        <v>12</v>
      </c>
      <c r="E7" s="504"/>
      <c r="F7" s="505">
        <f>E5*1.45</f>
        <v>4.5964999999999998</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9" t="s">
        <v>28</v>
      </c>
      <c r="F2" s="509"/>
      <c r="G2" s="509"/>
      <c r="H2" s="509"/>
      <c r="I2" s="509"/>
      <c r="J2" s="509"/>
      <c r="K2" s="509"/>
      <c r="L2" s="509"/>
      <c r="M2" s="509"/>
      <c r="N2" s="509"/>
      <c r="O2" s="509"/>
      <c r="P2" s="509"/>
      <c r="Q2" s="509"/>
      <c r="R2" s="509"/>
      <c r="S2" s="509"/>
      <c r="T2" s="509"/>
      <c r="U2" s="509"/>
      <c r="V2" s="509"/>
      <c r="W2" s="510"/>
    </row>
    <row r="3" spans="1:23" ht="15.75" customHeight="1" thickBot="1">
      <c r="B3" s="226" t="s">
        <v>29</v>
      </c>
      <c r="C3" s="227"/>
      <c r="D3" s="227"/>
      <c r="E3" s="511"/>
      <c r="F3" s="511"/>
      <c r="G3" s="511"/>
      <c r="H3" s="511"/>
      <c r="I3" s="511"/>
      <c r="J3" s="511"/>
      <c r="K3" s="511"/>
      <c r="L3" s="511"/>
      <c r="M3" s="511"/>
      <c r="N3" s="511"/>
      <c r="O3" s="511"/>
      <c r="P3" s="511"/>
      <c r="Q3" s="511"/>
      <c r="R3" s="511"/>
      <c r="S3" s="511"/>
      <c r="T3" s="511"/>
      <c r="U3" s="511"/>
      <c r="V3" s="511"/>
      <c r="W3" s="512"/>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13" t="s">
        <v>32</v>
      </c>
      <c r="E5" s="514"/>
      <c r="F5" s="234">
        <f>K64</f>
        <v>0</v>
      </c>
      <c r="H5" s="232"/>
      <c r="I5" s="232"/>
      <c r="J5" s="232"/>
      <c r="K5" s="232"/>
      <c r="M5" s="232"/>
      <c r="N5" s="232"/>
      <c r="O5" s="232"/>
      <c r="P5" s="232"/>
      <c r="Q5" s="232"/>
      <c r="S5" s="235"/>
      <c r="T5" s="232"/>
      <c r="U5" s="232"/>
      <c r="V5" s="232"/>
      <c r="W5" s="232"/>
    </row>
    <row r="6" spans="1:23" ht="15.75" customHeight="1" thickBot="1">
      <c r="B6" s="515" t="s">
        <v>33</v>
      </c>
      <c r="C6" s="516"/>
      <c r="D6" s="516"/>
      <c r="E6" s="516"/>
      <c r="F6" s="517"/>
      <c r="H6" s="518" t="s">
        <v>34</v>
      </c>
      <c r="I6" s="519"/>
      <c r="J6" s="519"/>
      <c r="K6" s="520"/>
      <c r="M6" s="518" t="s">
        <v>35</v>
      </c>
      <c r="N6" s="519"/>
      <c r="O6" s="519"/>
      <c r="P6" s="519"/>
      <c r="Q6" s="520"/>
      <c r="S6" s="518" t="s">
        <v>36</v>
      </c>
      <c r="T6" s="519"/>
      <c r="U6" s="519"/>
      <c r="V6" s="519"/>
      <c r="W6" s="520"/>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21" t="s">
        <v>36</v>
      </c>
      <c r="T36" s="522"/>
      <c r="U36" s="523"/>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24" t="s">
        <v>105</v>
      </c>
      <c r="T38" s="525"/>
      <c r="U38" s="525"/>
      <c r="V38" s="525"/>
      <c r="W38" s="526"/>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21" t="s">
        <v>127</v>
      </c>
      <c r="I46" s="523"/>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27" t="s">
        <v>148</v>
      </c>
      <c r="I56" s="52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28" t="s">
        <v>33</v>
      </c>
      <c r="I57" s="52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07" t="s">
        <v>127</v>
      </c>
      <c r="I58" s="508"/>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07" t="s">
        <v>35</v>
      </c>
      <c r="I59" s="508"/>
      <c r="J59" s="266">
        <f>P64</f>
        <v>0</v>
      </c>
      <c r="K59" s="121">
        <f>Q64</f>
        <v>0</v>
      </c>
      <c r="M59" s="45" t="s">
        <v>40</v>
      </c>
      <c r="N59" s="1">
        <v>12</v>
      </c>
      <c r="O59" s="1">
        <v>10.35</v>
      </c>
      <c r="P59" s="55"/>
      <c r="Q59" s="44">
        <f t="shared" si="2"/>
        <v>0</v>
      </c>
      <c r="S59" s="532" t="s">
        <v>105</v>
      </c>
      <c r="T59" s="532"/>
      <c r="U59" s="532"/>
      <c r="V59" s="267">
        <f>SUM(V40:V58)</f>
        <v>0</v>
      </c>
      <c r="W59" s="83">
        <f>SUM(W40:W58)</f>
        <v>0</v>
      </c>
    </row>
    <row r="60" spans="1:23" ht="15.75" customHeight="1" thickBot="1">
      <c r="A60" s="243"/>
      <c r="B60" s="45" t="s">
        <v>145</v>
      </c>
      <c r="C60" s="4">
        <v>5.3</v>
      </c>
      <c r="D60" s="1">
        <v>0.63</v>
      </c>
      <c r="E60" s="55"/>
      <c r="F60" s="56">
        <f t="shared" si="4"/>
        <v>0</v>
      </c>
      <c r="H60" s="507" t="s">
        <v>36</v>
      </c>
      <c r="I60" s="508"/>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07" t="s">
        <v>152</v>
      </c>
      <c r="I61" s="508"/>
      <c r="J61" s="79">
        <f>V59</f>
        <v>0</v>
      </c>
      <c r="K61" s="121">
        <f>W59</f>
        <v>0</v>
      </c>
      <c r="M61" s="45" t="s">
        <v>40</v>
      </c>
      <c r="N61" s="1">
        <v>14</v>
      </c>
      <c r="O61" s="1">
        <v>16.5</v>
      </c>
      <c r="P61" s="55"/>
      <c r="Q61" s="44">
        <f t="shared" si="2"/>
        <v>0</v>
      </c>
      <c r="T61" s="524" t="s">
        <v>153</v>
      </c>
      <c r="U61" s="525"/>
      <c r="V61" s="525"/>
      <c r="W61" s="526"/>
    </row>
    <row r="62" spans="1:23" ht="15.75" customHeight="1" thickBot="1">
      <c r="A62" s="248"/>
      <c r="B62" s="45" t="s">
        <v>145</v>
      </c>
      <c r="C62" s="1">
        <v>5.5</v>
      </c>
      <c r="D62" s="1">
        <v>0.67</v>
      </c>
      <c r="E62" s="55"/>
      <c r="F62" s="56">
        <f t="shared" si="4"/>
        <v>0</v>
      </c>
      <c r="H62" s="507" t="s">
        <v>153</v>
      </c>
      <c r="I62" s="508"/>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33" t="s">
        <v>154</v>
      </c>
      <c r="I63" s="534"/>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35" t="s">
        <v>32</v>
      </c>
      <c r="I64" s="535"/>
      <c r="J64" s="271">
        <f>SUM(J57:J63)</f>
        <v>0</v>
      </c>
      <c r="K64" s="272">
        <f>SUM(K57:K63)</f>
        <v>0</v>
      </c>
      <c r="M64" s="536" t="s">
        <v>35</v>
      </c>
      <c r="N64" s="536"/>
      <c r="O64" s="536"/>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37" t="s">
        <v>154</v>
      </c>
      <c r="O66" s="538"/>
      <c r="P66" s="538"/>
      <c r="Q66" s="539"/>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32" t="s">
        <v>153</v>
      </c>
      <c r="U83" s="532"/>
      <c r="V83" s="260">
        <f>SUM(V64:V82)</f>
        <v>0</v>
      </c>
      <c r="W83" s="125">
        <f>SUM(W64:W82)</f>
        <v>0</v>
      </c>
    </row>
    <row r="84" spans="2:23" ht="15.75" customHeight="1" thickBot="1">
      <c r="B84" s="45" t="s">
        <v>145</v>
      </c>
      <c r="C84" s="1">
        <v>9.8000000000000007</v>
      </c>
      <c r="D84" s="1">
        <v>3.35</v>
      </c>
      <c r="E84" s="55"/>
      <c r="F84" s="123">
        <f t="shared" si="4"/>
        <v>0</v>
      </c>
      <c r="M84" s="273"/>
      <c r="N84" s="532" t="s">
        <v>154</v>
      </c>
      <c r="O84" s="532"/>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30" t="s">
        <v>33</v>
      </c>
      <c r="C103" s="530"/>
      <c r="D103" s="531"/>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6" t="s">
        <v>28</v>
      </c>
      <c r="F2" s="546"/>
      <c r="G2" s="546"/>
      <c r="H2" s="546"/>
      <c r="I2" s="546"/>
      <c r="J2" s="546"/>
      <c r="K2" s="546"/>
      <c r="L2" s="546"/>
      <c r="M2" s="546"/>
      <c r="N2" s="546"/>
      <c r="O2" s="546"/>
      <c r="P2" s="546"/>
      <c r="Q2" s="546"/>
      <c r="R2" s="546"/>
      <c r="S2" s="546"/>
      <c r="T2" s="546"/>
      <c r="U2" s="546"/>
      <c r="V2" s="546"/>
      <c r="W2" s="547"/>
    </row>
    <row r="3" spans="1:23" ht="15.75" customHeight="1" thickBot="1">
      <c r="B3" s="12" t="s">
        <v>179</v>
      </c>
      <c r="C3" s="13"/>
      <c r="D3" s="13"/>
      <c r="E3" s="548"/>
      <c r="F3" s="548"/>
      <c r="G3" s="548"/>
      <c r="H3" s="548"/>
      <c r="I3" s="548"/>
      <c r="J3" s="548"/>
      <c r="K3" s="548"/>
      <c r="L3" s="548"/>
      <c r="M3" s="548"/>
      <c r="N3" s="548"/>
      <c r="O3" s="548"/>
      <c r="P3" s="548"/>
      <c r="Q3" s="548"/>
      <c r="R3" s="548"/>
      <c r="S3" s="548"/>
      <c r="T3" s="548"/>
      <c r="U3" s="548"/>
      <c r="V3" s="548"/>
      <c r="W3" s="549"/>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50" t="s">
        <v>32</v>
      </c>
      <c r="E5" s="551"/>
      <c r="F5" s="22">
        <f>K64</f>
        <v>0</v>
      </c>
      <c r="H5" s="20"/>
      <c r="I5" s="20"/>
      <c r="J5" s="20"/>
      <c r="K5" s="20"/>
      <c r="M5" s="20"/>
      <c r="N5" s="20"/>
      <c r="O5" s="20"/>
      <c r="P5" s="20"/>
      <c r="Q5" s="20"/>
      <c r="S5" s="23"/>
      <c r="T5" s="20"/>
      <c r="U5" s="20"/>
      <c r="V5" s="20"/>
      <c r="W5" s="20"/>
    </row>
    <row r="6" spans="1:23" ht="15.75" customHeight="1" thickBot="1">
      <c r="B6" s="515" t="s">
        <v>33</v>
      </c>
      <c r="C6" s="516"/>
      <c r="D6" s="516"/>
      <c r="E6" s="516"/>
      <c r="F6" s="517"/>
      <c r="H6" s="518" t="s">
        <v>127</v>
      </c>
      <c r="I6" s="519"/>
      <c r="J6" s="519"/>
      <c r="K6" s="520"/>
      <c r="M6" s="518" t="s">
        <v>35</v>
      </c>
      <c r="N6" s="519"/>
      <c r="O6" s="519"/>
      <c r="P6" s="519"/>
      <c r="Q6" s="520"/>
      <c r="S6" s="518" t="s">
        <v>36</v>
      </c>
      <c r="T6" s="519"/>
      <c r="U6" s="519"/>
      <c r="V6" s="519"/>
      <c r="W6" s="520"/>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21" t="s">
        <v>36</v>
      </c>
      <c r="T36" s="522"/>
      <c r="U36" s="523"/>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24" t="s">
        <v>105</v>
      </c>
      <c r="T38" s="525"/>
      <c r="U38" s="525"/>
      <c r="V38" s="525"/>
      <c r="W38" s="526"/>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21" t="s">
        <v>127</v>
      </c>
      <c r="I46" s="523"/>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52" t="s">
        <v>148</v>
      </c>
      <c r="I56" s="552"/>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53" t="s">
        <v>33</v>
      </c>
      <c r="I57" s="554"/>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4" t="s">
        <v>127</v>
      </c>
      <c r="I58" s="545"/>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4" t="s">
        <v>35</v>
      </c>
      <c r="I59" s="545"/>
      <c r="J59" s="101">
        <f>P64</f>
        <v>0</v>
      </c>
      <c r="K59" s="102">
        <f>Q64</f>
        <v>0</v>
      </c>
      <c r="M59" s="45" t="s">
        <v>145</v>
      </c>
      <c r="N59" s="1">
        <v>12</v>
      </c>
      <c r="O59" s="1">
        <v>10.35</v>
      </c>
      <c r="P59" s="59"/>
      <c r="Q59" s="44">
        <f t="shared" si="2"/>
        <v>0</v>
      </c>
      <c r="S59" s="543" t="s">
        <v>105</v>
      </c>
      <c r="T59" s="543"/>
      <c r="U59" s="543"/>
      <c r="V59" s="215">
        <f>SUM(V40:V58)</f>
        <v>0</v>
      </c>
      <c r="W59" s="83">
        <f>SUM(W40:W58)</f>
        <v>0</v>
      </c>
    </row>
    <row r="60" spans="1:23" ht="15.75" customHeight="1" thickBot="1">
      <c r="A60" s="53"/>
      <c r="B60" s="45" t="s">
        <v>145</v>
      </c>
      <c r="C60" s="4">
        <v>5.3</v>
      </c>
      <c r="D60" s="1">
        <v>0.63</v>
      </c>
      <c r="E60" s="3"/>
      <c r="F60" s="56">
        <f t="shared" si="4"/>
        <v>0</v>
      </c>
      <c r="H60" s="544" t="s">
        <v>36</v>
      </c>
      <c r="I60" s="545"/>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4" t="s">
        <v>152</v>
      </c>
      <c r="I61" s="545"/>
      <c r="J61" s="57">
        <f>V59</f>
        <v>0</v>
      </c>
      <c r="K61" s="102">
        <f>W59</f>
        <v>0</v>
      </c>
      <c r="M61" s="45" t="s">
        <v>145</v>
      </c>
      <c r="N61" s="1">
        <v>14</v>
      </c>
      <c r="O61" s="1">
        <v>16.5</v>
      </c>
      <c r="P61" s="59"/>
      <c r="Q61" s="44">
        <f t="shared" si="2"/>
        <v>0</v>
      </c>
      <c r="T61" s="524" t="s">
        <v>153</v>
      </c>
      <c r="U61" s="525"/>
      <c r="V61" s="525"/>
      <c r="W61" s="526"/>
    </row>
    <row r="62" spans="1:23" ht="15.75" customHeight="1" thickBot="1">
      <c r="A62" s="64"/>
      <c r="B62" s="45" t="s">
        <v>145</v>
      </c>
      <c r="C62" s="1">
        <v>5.5</v>
      </c>
      <c r="D62" s="1">
        <v>0.67</v>
      </c>
      <c r="E62" s="3"/>
      <c r="F62" s="56">
        <f t="shared" si="4"/>
        <v>0</v>
      </c>
      <c r="H62" s="544" t="s">
        <v>153</v>
      </c>
      <c r="I62" s="545"/>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40" t="s">
        <v>154</v>
      </c>
      <c r="I63" s="541"/>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42" t="s">
        <v>32</v>
      </c>
      <c r="I64" s="542"/>
      <c r="J64" s="109">
        <f>SUM(J57:J63)</f>
        <v>0</v>
      </c>
      <c r="K64" s="110">
        <f>SUM(K57:K63)</f>
        <v>0</v>
      </c>
      <c r="M64" s="536" t="s">
        <v>35</v>
      </c>
      <c r="N64" s="536"/>
      <c r="O64" s="536"/>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37" t="s">
        <v>154</v>
      </c>
      <c r="O66" s="538"/>
      <c r="P66" s="538"/>
      <c r="Q66" s="539"/>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43" t="s">
        <v>153</v>
      </c>
      <c r="U82" s="543"/>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43" t="s">
        <v>154</v>
      </c>
      <c r="O84" s="543"/>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30" t="s">
        <v>33</v>
      </c>
      <c r="C103" s="530"/>
      <c r="D103" s="531"/>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57" t="s">
        <v>36</v>
      </c>
      <c r="B1" s="558"/>
      <c r="D1" s="561" t="s">
        <v>105</v>
      </c>
      <c r="E1" s="562"/>
      <c r="G1" s="561" t="s">
        <v>153</v>
      </c>
      <c r="H1" s="562"/>
      <c r="J1" s="561" t="s">
        <v>33</v>
      </c>
      <c r="K1" s="562"/>
      <c r="M1" s="561" t="s">
        <v>154</v>
      </c>
      <c r="N1" s="562"/>
      <c r="P1" s="561" t="s">
        <v>403</v>
      </c>
      <c r="R1" s="555" t="s">
        <v>35</v>
      </c>
    </row>
    <row r="2" spans="1:18" ht="15.75" thickBot="1">
      <c r="A2" s="559"/>
      <c r="B2" s="560"/>
      <c r="D2" s="563"/>
      <c r="E2" s="564"/>
      <c r="G2" s="563"/>
      <c r="H2" s="564"/>
      <c r="J2" s="563"/>
      <c r="K2" s="564"/>
      <c r="M2" s="563"/>
      <c r="N2" s="564"/>
      <c r="P2" s="563"/>
      <c r="R2" s="556"/>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5" t="s">
        <v>418</v>
      </c>
      <c r="C19" s="555" t="s">
        <v>419</v>
      </c>
      <c r="E19" s="555" t="s">
        <v>420</v>
      </c>
      <c r="G19" s="561" t="s">
        <v>421</v>
      </c>
    </row>
    <row r="20" spans="1:7" ht="15.75" thickBot="1">
      <c r="A20" s="556"/>
      <c r="C20" s="556"/>
      <c r="E20" s="556"/>
      <c r="G20" s="563"/>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2" t="s">
        <v>659</v>
      </c>
      <c r="C3" s="583" t="s">
        <v>660</v>
      </c>
      <c r="E3" s="202" t="s">
        <v>33</v>
      </c>
      <c r="F3" s="202" t="s">
        <v>23</v>
      </c>
      <c r="H3" s="199" t="s">
        <v>661</v>
      </c>
      <c r="I3" s="199" t="s">
        <v>662</v>
      </c>
      <c r="K3" s="199" t="s">
        <v>663</v>
      </c>
      <c r="L3" s="199" t="s">
        <v>663</v>
      </c>
      <c r="N3" s="199" t="s">
        <v>664</v>
      </c>
      <c r="O3" s="200" t="s">
        <v>665</v>
      </c>
      <c r="Q3" s="217" t="s">
        <v>666</v>
      </c>
      <c r="R3" s="218" t="s">
        <v>667</v>
      </c>
    </row>
    <row r="4" spans="2:18" ht="21">
      <c r="B4" s="583"/>
      <c r="C4" s="583"/>
      <c r="E4" s="202" t="s">
        <v>153</v>
      </c>
      <c r="F4" s="202" t="s">
        <v>668</v>
      </c>
      <c r="H4" s="199" t="s">
        <v>669</v>
      </c>
      <c r="I4" s="199" t="s">
        <v>670</v>
      </c>
      <c r="K4" s="199" t="s">
        <v>671</v>
      </c>
      <c r="L4" s="199" t="s">
        <v>672</v>
      </c>
      <c r="N4" s="199" t="s">
        <v>673</v>
      </c>
      <c r="O4" s="199" t="s">
        <v>674</v>
      </c>
      <c r="Q4" s="217" t="s">
        <v>675</v>
      </c>
      <c r="R4" s="218" t="s">
        <v>676</v>
      </c>
    </row>
    <row r="5" spans="2:18" ht="15.75" customHeight="1">
      <c r="B5" s="582" t="s">
        <v>677</v>
      </c>
      <c r="C5" s="583" t="s">
        <v>467</v>
      </c>
      <c r="E5" s="202" t="s">
        <v>36</v>
      </c>
      <c r="F5" s="202" t="s">
        <v>678</v>
      </c>
      <c r="H5" s="200" t="s">
        <v>679</v>
      </c>
      <c r="I5" s="199" t="s">
        <v>680</v>
      </c>
      <c r="K5" s="199" t="s">
        <v>681</v>
      </c>
      <c r="L5" s="199" t="s">
        <v>682</v>
      </c>
      <c r="N5" s="200" t="s">
        <v>683</v>
      </c>
      <c r="O5" s="199" t="s">
        <v>684</v>
      </c>
      <c r="Q5" s="217" t="s">
        <v>685</v>
      </c>
      <c r="R5" s="218" t="s">
        <v>686</v>
      </c>
    </row>
    <row r="6" spans="2:18" ht="21">
      <c r="B6" s="583"/>
      <c r="C6" s="583"/>
      <c r="E6" s="202" t="s">
        <v>152</v>
      </c>
      <c r="F6" s="202" t="s">
        <v>687</v>
      </c>
      <c r="H6" s="199" t="s">
        <v>688</v>
      </c>
      <c r="I6" s="199" t="s">
        <v>689</v>
      </c>
      <c r="K6" s="199" t="s">
        <v>690</v>
      </c>
      <c r="L6" s="199" t="s">
        <v>691</v>
      </c>
      <c r="N6" s="199" t="s">
        <v>692</v>
      </c>
      <c r="O6" s="199" t="s">
        <v>693</v>
      </c>
      <c r="Q6" s="217" t="s">
        <v>694</v>
      </c>
      <c r="R6" s="218" t="s">
        <v>695</v>
      </c>
    </row>
    <row r="7" spans="2:18" ht="15.75" customHeight="1">
      <c r="B7" s="582" t="s">
        <v>696</v>
      </c>
      <c r="C7" s="583" t="s">
        <v>697</v>
      </c>
      <c r="E7" s="202" t="s">
        <v>698</v>
      </c>
      <c r="F7" s="202" t="s">
        <v>699</v>
      </c>
      <c r="H7" s="199" t="s">
        <v>700</v>
      </c>
      <c r="I7" s="199" t="s">
        <v>701</v>
      </c>
      <c r="K7" s="199" t="s">
        <v>702</v>
      </c>
      <c r="L7" s="199" t="s">
        <v>703</v>
      </c>
      <c r="N7" s="199" t="s">
        <v>704</v>
      </c>
      <c r="O7" s="199" t="s">
        <v>705</v>
      </c>
      <c r="Q7" s="217" t="s">
        <v>706</v>
      </c>
      <c r="R7" s="218" t="s">
        <v>707</v>
      </c>
    </row>
    <row r="8" spans="2:18" ht="21">
      <c r="B8" s="583"/>
      <c r="C8" s="583"/>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4" t="s">
        <v>822</v>
      </c>
      <c r="C27" s="584"/>
      <c r="D27" s="584"/>
      <c r="E27" s="584"/>
      <c r="F27" s="584"/>
      <c r="H27" s="584" t="s">
        <v>823</v>
      </c>
      <c r="I27" s="584"/>
    </row>
    <row r="28" spans="2:18">
      <c r="B28" s="583" t="s">
        <v>663</v>
      </c>
      <c r="C28" s="583"/>
      <c r="D28" s="583" t="s">
        <v>824</v>
      </c>
      <c r="E28" s="583"/>
      <c r="F28" s="583"/>
      <c r="H28" s="583" t="s">
        <v>825</v>
      </c>
      <c r="I28" s="583"/>
    </row>
    <row r="29" spans="2:18">
      <c r="B29" s="583" t="s">
        <v>681</v>
      </c>
      <c r="C29" s="583"/>
      <c r="D29" s="583" t="s">
        <v>826</v>
      </c>
      <c r="E29" s="583"/>
      <c r="F29" s="583"/>
      <c r="H29" s="583" t="s">
        <v>827</v>
      </c>
      <c r="I29" s="583"/>
    </row>
    <row r="30" spans="2:18">
      <c r="B30" s="583" t="s">
        <v>671</v>
      </c>
      <c r="C30" s="583"/>
      <c r="D30" s="583" t="s">
        <v>828</v>
      </c>
      <c r="E30" s="583"/>
      <c r="F30" s="583"/>
      <c r="H30" s="583" t="s">
        <v>829</v>
      </c>
      <c r="I30" s="583"/>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61" t="s">
        <v>36</v>
      </c>
      <c r="B2" s="629" t="s">
        <v>887</v>
      </c>
      <c r="C2" s="630"/>
      <c r="D2" s="630"/>
      <c r="E2" s="631"/>
      <c r="F2" s="130"/>
      <c r="H2" s="561" t="s">
        <v>888</v>
      </c>
      <c r="I2" s="623" t="s">
        <v>888</v>
      </c>
      <c r="J2" s="624"/>
      <c r="K2" s="624"/>
      <c r="L2" s="625"/>
      <c r="O2" s="561" t="s">
        <v>418</v>
      </c>
      <c r="P2" s="614" t="s">
        <v>889</v>
      </c>
      <c r="Q2" s="615"/>
      <c r="R2" s="615"/>
      <c r="S2" s="616"/>
    </row>
    <row r="3" spans="1:19" ht="15.75" thickBot="1">
      <c r="A3" s="563"/>
      <c r="B3" s="632"/>
      <c r="C3" s="633"/>
      <c r="D3" s="633"/>
      <c r="E3" s="634"/>
      <c r="H3" s="563"/>
      <c r="I3" s="626"/>
      <c r="J3" s="627"/>
      <c r="K3" s="627"/>
      <c r="L3" s="628"/>
      <c r="O3" s="563"/>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21"/>
      <c r="I6" s="401">
        <v>6</v>
      </c>
      <c r="J6" s="402"/>
      <c r="K6" s="403"/>
      <c r="L6" s="404"/>
      <c r="O6" s="114"/>
      <c r="P6" s="427" t="s">
        <v>424</v>
      </c>
      <c r="Q6" s="428"/>
      <c r="R6" s="409"/>
      <c r="S6" s="429"/>
    </row>
    <row r="7" spans="1:19">
      <c r="B7" s="401" t="s">
        <v>25</v>
      </c>
      <c r="C7" s="402">
        <v>0.62</v>
      </c>
      <c r="D7" s="403"/>
      <c r="E7" s="404">
        <f t="shared" si="0"/>
        <v>0</v>
      </c>
      <c r="G7" s="622"/>
      <c r="I7" s="401">
        <v>7</v>
      </c>
      <c r="J7" s="402"/>
      <c r="K7" s="403"/>
      <c r="L7" s="404"/>
      <c r="O7" s="114"/>
      <c r="P7" s="427" t="s">
        <v>412</v>
      </c>
      <c r="Q7" s="428"/>
      <c r="R7" s="409"/>
      <c r="S7" s="429"/>
    </row>
    <row r="8" spans="1:19">
      <c r="B8" s="401" t="s">
        <v>408</v>
      </c>
      <c r="C8" s="402">
        <v>1.06</v>
      </c>
      <c r="D8" s="403"/>
      <c r="E8" s="404">
        <f t="shared" si="0"/>
        <v>0</v>
      </c>
      <c r="G8" s="622"/>
      <c r="I8" s="401">
        <v>8</v>
      </c>
      <c r="J8" s="402"/>
      <c r="K8" s="403"/>
      <c r="L8" s="404"/>
      <c r="O8" s="114"/>
      <c r="P8" s="442" t="s">
        <v>428</v>
      </c>
      <c r="Q8" s="424"/>
      <c r="R8" s="425"/>
      <c r="S8" s="426"/>
    </row>
    <row r="9" spans="1:19">
      <c r="B9" s="401" t="s">
        <v>410</v>
      </c>
      <c r="C9" s="402">
        <v>1.38</v>
      </c>
      <c r="D9" s="403"/>
      <c r="E9" s="404">
        <f t="shared" si="0"/>
        <v>0</v>
      </c>
      <c r="G9" s="622"/>
      <c r="I9" s="401">
        <v>9</v>
      </c>
      <c r="J9" s="402"/>
      <c r="K9" s="403"/>
      <c r="L9" s="404"/>
    </row>
    <row r="10" spans="1:19" ht="15.75" thickBot="1">
      <c r="B10" s="401" t="s">
        <v>412</v>
      </c>
      <c r="C10" s="402">
        <v>2.1</v>
      </c>
      <c r="D10" s="403"/>
      <c r="E10" s="404">
        <f t="shared" si="0"/>
        <v>0</v>
      </c>
      <c r="G10" s="622"/>
      <c r="I10" s="401">
        <v>10</v>
      </c>
      <c r="J10" s="402"/>
      <c r="K10" s="403"/>
      <c r="L10" s="404"/>
    </row>
    <row r="11" spans="1:19">
      <c r="B11" s="401" t="s">
        <v>415</v>
      </c>
      <c r="C11" s="402">
        <v>3.02</v>
      </c>
      <c r="D11" s="403"/>
      <c r="E11" s="404">
        <f t="shared" si="0"/>
        <v>0</v>
      </c>
      <c r="G11" s="622"/>
      <c r="I11" s="401">
        <v>11</v>
      </c>
      <c r="J11" s="402"/>
      <c r="K11" s="403"/>
      <c r="L11" s="404"/>
      <c r="O11" s="561" t="s">
        <v>419</v>
      </c>
      <c r="P11" s="614" t="s">
        <v>891</v>
      </c>
      <c r="Q11" s="615"/>
      <c r="R11" s="615"/>
      <c r="S11" s="616"/>
    </row>
    <row r="12" spans="1:19" ht="15.75" thickBot="1">
      <c r="B12" s="405" t="s">
        <v>167</v>
      </c>
      <c r="C12" s="406">
        <v>4.7</v>
      </c>
      <c r="D12" s="407"/>
      <c r="E12" s="408">
        <f t="shared" si="0"/>
        <v>0</v>
      </c>
      <c r="G12" s="622"/>
      <c r="I12" s="405">
        <v>12</v>
      </c>
      <c r="J12" s="406"/>
      <c r="K12" s="407"/>
      <c r="L12" s="408"/>
      <c r="O12" s="563"/>
      <c r="P12" s="617"/>
      <c r="Q12" s="618"/>
      <c r="R12" s="618"/>
      <c r="S12" s="619"/>
    </row>
    <row r="13" spans="1:19" ht="15.75" thickBot="1">
      <c r="B13" s="620" t="s">
        <v>36</v>
      </c>
      <c r="C13" s="620"/>
      <c r="D13" s="140">
        <f>SUM(D6:D12)</f>
        <v>0</v>
      </c>
      <c r="E13" s="141">
        <f>SUM(E6:E12)</f>
        <v>0</v>
      </c>
      <c r="G13" s="622"/>
      <c r="I13" s="620" t="s">
        <v>36</v>
      </c>
      <c r="J13" s="620"/>
      <c r="K13" s="140">
        <f>SUM(K6:K12)</f>
        <v>0</v>
      </c>
      <c r="L13" s="141">
        <f>SUM(L6:L12)</f>
        <v>0</v>
      </c>
      <c r="P13" s="131" t="s">
        <v>37</v>
      </c>
      <c r="Q13" s="131" t="s">
        <v>22</v>
      </c>
      <c r="R13" s="131" t="s">
        <v>890</v>
      </c>
      <c r="S13" s="131" t="s">
        <v>32</v>
      </c>
    </row>
    <row r="14" spans="1:19">
      <c r="G14" s="622"/>
      <c r="P14" s="442" t="s">
        <v>164</v>
      </c>
      <c r="Q14" s="424"/>
      <c r="R14" s="425"/>
      <c r="S14" s="426"/>
    </row>
    <row r="15" spans="1:19" ht="15.75" thickBot="1">
      <c r="G15" s="621"/>
      <c r="O15" s="114"/>
      <c r="P15" s="427" t="s">
        <v>25</v>
      </c>
      <c r="Q15" s="428"/>
      <c r="R15" s="409"/>
      <c r="S15" s="429"/>
    </row>
    <row r="16" spans="1:19">
      <c r="A16" s="561" t="s">
        <v>105</v>
      </c>
      <c r="B16" s="629" t="s">
        <v>892</v>
      </c>
      <c r="C16" s="630"/>
      <c r="D16" s="630"/>
      <c r="E16" s="631"/>
      <c r="G16" s="622"/>
      <c r="H16" s="561" t="s">
        <v>893</v>
      </c>
      <c r="I16" s="623" t="s">
        <v>893</v>
      </c>
      <c r="J16" s="624"/>
      <c r="K16" s="624"/>
      <c r="L16" s="625"/>
      <c r="O16" s="114"/>
      <c r="P16" s="427"/>
      <c r="Q16" s="428"/>
      <c r="R16" s="409"/>
      <c r="S16" s="429"/>
    </row>
    <row r="17" spans="1:19" ht="15.75" thickBot="1">
      <c r="A17" s="563"/>
      <c r="B17" s="632"/>
      <c r="C17" s="633"/>
      <c r="D17" s="633"/>
      <c r="E17" s="634"/>
      <c r="G17" s="622"/>
      <c r="H17" s="563"/>
      <c r="I17" s="626"/>
      <c r="J17" s="627"/>
      <c r="K17" s="627"/>
      <c r="L17" s="628"/>
      <c r="O17" s="114"/>
      <c r="P17" s="442"/>
      <c r="Q17" s="424"/>
      <c r="R17" s="425"/>
      <c r="S17" s="426"/>
    </row>
    <row r="18" spans="1:19" ht="15.75" thickBot="1">
      <c r="B18" s="131" t="s">
        <v>37</v>
      </c>
      <c r="C18" s="131" t="s">
        <v>22</v>
      </c>
      <c r="D18" s="131" t="s">
        <v>890</v>
      </c>
      <c r="E18" s="131" t="s">
        <v>32</v>
      </c>
      <c r="G18" s="622"/>
      <c r="I18" s="131" t="s">
        <v>37</v>
      </c>
      <c r="J18" s="131" t="s">
        <v>22</v>
      </c>
      <c r="K18" s="131" t="s">
        <v>890</v>
      </c>
      <c r="L18" s="131" t="s">
        <v>32</v>
      </c>
    </row>
    <row r="19" spans="1:19">
      <c r="B19" s="132"/>
      <c r="C19" s="133"/>
      <c r="D19" s="134"/>
      <c r="E19" s="135"/>
      <c r="G19" s="622"/>
      <c r="I19" s="401">
        <v>4</v>
      </c>
      <c r="J19" s="402"/>
      <c r="K19" s="403"/>
      <c r="L19" s="404"/>
      <c r="O19" s="561" t="s">
        <v>709</v>
      </c>
      <c r="P19" s="614" t="s">
        <v>894</v>
      </c>
      <c r="Q19" s="615"/>
      <c r="R19" s="615"/>
      <c r="S19" s="616"/>
    </row>
    <row r="20" spans="1:19" ht="15.75" thickBot="1">
      <c r="B20" s="401" t="s">
        <v>405</v>
      </c>
      <c r="C20" s="402">
        <v>0.19</v>
      </c>
      <c r="D20" s="403"/>
      <c r="E20" s="404">
        <f t="shared" ref="E20:E27" si="1">D20*C20</f>
        <v>0</v>
      </c>
      <c r="G20" s="622"/>
      <c r="I20" s="401">
        <v>6</v>
      </c>
      <c r="J20" s="402"/>
      <c r="K20" s="403"/>
      <c r="L20" s="404"/>
      <c r="O20" s="563"/>
      <c r="P20" s="617"/>
      <c r="Q20" s="618"/>
      <c r="R20" s="618"/>
      <c r="S20" s="619"/>
    </row>
    <row r="21" spans="1:19" ht="15" customHeight="1" thickBot="1">
      <c r="B21" s="401" t="s">
        <v>406</v>
      </c>
      <c r="C21" s="402">
        <v>0.24</v>
      </c>
      <c r="D21" s="403"/>
      <c r="E21" s="404">
        <f t="shared" si="1"/>
        <v>0</v>
      </c>
      <c r="G21" s="622"/>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22"/>
      <c r="I22" s="401">
        <v>8</v>
      </c>
      <c r="J22" s="402"/>
      <c r="K22" s="403"/>
      <c r="L22" s="404"/>
      <c r="P22" s="456" t="s">
        <v>65</v>
      </c>
      <c r="Q22" s="424"/>
      <c r="R22" s="425"/>
      <c r="S22" s="426"/>
    </row>
    <row r="23" spans="1:19">
      <c r="B23" s="401" t="s">
        <v>141</v>
      </c>
      <c r="C23" s="402">
        <v>0.41</v>
      </c>
      <c r="D23" s="403"/>
      <c r="E23" s="404">
        <f t="shared" si="1"/>
        <v>0</v>
      </c>
      <c r="G23" s="622"/>
      <c r="I23" s="401">
        <v>9</v>
      </c>
      <c r="J23" s="402"/>
      <c r="K23" s="403"/>
      <c r="L23" s="404"/>
      <c r="O23" s="114"/>
      <c r="P23" s="457" t="s">
        <v>405</v>
      </c>
      <c r="Q23" s="428"/>
      <c r="R23" s="409"/>
      <c r="S23" s="429"/>
    </row>
    <row r="24" spans="1:19">
      <c r="B24" s="401" t="s">
        <v>413</v>
      </c>
      <c r="C24" s="402">
        <v>0.66</v>
      </c>
      <c r="D24" s="403"/>
      <c r="E24" s="404">
        <f t="shared" si="1"/>
        <v>0</v>
      </c>
      <c r="G24" s="621"/>
      <c r="I24" s="401">
        <v>10</v>
      </c>
      <c r="J24" s="402"/>
      <c r="K24" s="403"/>
      <c r="L24" s="404"/>
      <c r="O24" s="114"/>
      <c r="P24" s="457" t="s">
        <v>426</v>
      </c>
      <c r="Q24" s="428"/>
      <c r="R24" s="409"/>
      <c r="S24" s="429"/>
    </row>
    <row r="25" spans="1:19">
      <c r="B25" s="401" t="s">
        <v>416</v>
      </c>
      <c r="C25" s="402">
        <v>0.98</v>
      </c>
      <c r="D25" s="403"/>
      <c r="E25" s="404">
        <f t="shared" si="1"/>
        <v>0</v>
      </c>
      <c r="G25" s="622"/>
      <c r="I25" s="401">
        <v>11</v>
      </c>
      <c r="J25" s="402"/>
      <c r="K25" s="403"/>
      <c r="L25" s="404"/>
      <c r="O25" s="114"/>
      <c r="P25" s="458" t="s">
        <v>895</v>
      </c>
      <c r="Q25" s="424"/>
      <c r="R25" s="425"/>
      <c r="S25" s="426"/>
    </row>
    <row r="26" spans="1:19" ht="15.75" thickBot="1">
      <c r="B26" s="401" t="s">
        <v>417</v>
      </c>
      <c r="C26" s="402">
        <v>1.4</v>
      </c>
      <c r="D26" s="403"/>
      <c r="E26" s="404">
        <f t="shared" si="1"/>
        <v>0</v>
      </c>
      <c r="G26" s="622"/>
      <c r="I26" s="405">
        <v>12</v>
      </c>
      <c r="J26" s="406"/>
      <c r="K26" s="407"/>
      <c r="L26" s="408"/>
      <c r="P26" s="457" t="s">
        <v>406</v>
      </c>
      <c r="Q26" s="424"/>
      <c r="R26" s="425"/>
      <c r="S26" s="426"/>
    </row>
    <row r="27" spans="1:19" ht="15.75" thickBot="1">
      <c r="B27" s="401"/>
      <c r="C27" s="402">
        <v>1.92</v>
      </c>
      <c r="D27" s="403"/>
      <c r="E27" s="404">
        <f t="shared" si="1"/>
        <v>0</v>
      </c>
      <c r="G27" s="622"/>
      <c r="I27" s="620" t="s">
        <v>36</v>
      </c>
      <c r="J27" s="620"/>
      <c r="K27" s="140">
        <f>SUM(K20:K26)</f>
        <v>0</v>
      </c>
      <c r="L27" s="141">
        <f>SUM(L20:L26)</f>
        <v>0</v>
      </c>
      <c r="P27" s="458" t="s">
        <v>141</v>
      </c>
      <c r="Q27" s="424"/>
      <c r="R27" s="425"/>
      <c r="S27" s="426"/>
    </row>
    <row r="28" spans="1:19" ht="15.75" thickBot="1">
      <c r="B28" s="136"/>
      <c r="C28" s="137"/>
      <c r="D28" s="138"/>
      <c r="E28" s="139"/>
      <c r="G28" s="622"/>
      <c r="P28" s="459" t="s">
        <v>416</v>
      </c>
      <c r="Q28" s="424"/>
      <c r="R28" s="425"/>
      <c r="S28" s="426"/>
    </row>
    <row r="29" spans="1:19" ht="15.75" thickBot="1">
      <c r="B29" s="620" t="s">
        <v>105</v>
      </c>
      <c r="C29" s="620"/>
      <c r="D29" s="140">
        <f>SUM(D19:D28)</f>
        <v>0</v>
      </c>
      <c r="E29" s="141">
        <f>SUM(E19:E28)</f>
        <v>0</v>
      </c>
      <c r="G29" s="622"/>
    </row>
    <row r="30" spans="1:19" ht="15.75" thickBot="1">
      <c r="B30" s="142"/>
      <c r="C30" s="142"/>
      <c r="E30" s="143"/>
      <c r="G30" s="622"/>
    </row>
    <row r="31" spans="1:19" ht="15.75" customHeight="1" thickBot="1">
      <c r="G31" s="622"/>
      <c r="O31" s="561" t="s">
        <v>421</v>
      </c>
      <c r="P31" s="614" t="s">
        <v>896</v>
      </c>
      <c r="Q31" s="615"/>
      <c r="R31" s="615"/>
      <c r="S31" s="616"/>
    </row>
    <row r="32" spans="1:19" ht="15.75" customHeight="1" thickBot="1">
      <c r="A32" s="561" t="s">
        <v>153</v>
      </c>
      <c r="B32" s="629" t="s">
        <v>897</v>
      </c>
      <c r="C32" s="630"/>
      <c r="D32" s="630"/>
      <c r="E32" s="631"/>
      <c r="G32" s="622"/>
      <c r="H32" s="561" t="s">
        <v>154</v>
      </c>
      <c r="I32" s="614" t="s">
        <v>898</v>
      </c>
      <c r="J32" s="615"/>
      <c r="K32" s="615"/>
      <c r="L32" s="616"/>
      <c r="O32" s="563"/>
      <c r="P32" s="617"/>
      <c r="Q32" s="618"/>
      <c r="R32" s="618"/>
      <c r="S32" s="619"/>
    </row>
    <row r="33" spans="1:19" ht="15.75" thickBot="1">
      <c r="A33" s="563"/>
      <c r="B33" s="632"/>
      <c r="C33" s="633"/>
      <c r="D33" s="633"/>
      <c r="E33" s="634"/>
      <c r="H33" s="563"/>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5" t="s">
        <v>153</v>
      </c>
      <c r="C44" s="636"/>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61" t="s">
        <v>33</v>
      </c>
      <c r="B47" s="637" t="s">
        <v>900</v>
      </c>
      <c r="C47" s="638"/>
      <c r="D47" s="638"/>
      <c r="E47" s="639"/>
      <c r="I47" s="431" t="s">
        <v>303</v>
      </c>
      <c r="J47" s="432">
        <v>67.5</v>
      </c>
      <c r="K47" s="410"/>
      <c r="L47" s="433">
        <f t="shared" si="2"/>
        <v>0</v>
      </c>
    </row>
    <row r="48" spans="1:19" ht="15.75" thickBot="1">
      <c r="A48" s="563"/>
      <c r="B48" s="640"/>
      <c r="C48" s="641"/>
      <c r="D48" s="641"/>
      <c r="E48" s="642"/>
      <c r="F48" s="146"/>
      <c r="I48" s="620" t="s">
        <v>154</v>
      </c>
      <c r="J48" s="620"/>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61" t="s">
        <v>35</v>
      </c>
      <c r="I51" s="614" t="s">
        <v>901</v>
      </c>
      <c r="J51" s="615"/>
      <c r="K51" s="615"/>
      <c r="L51" s="616"/>
      <c r="M51" s="114"/>
      <c r="N51" s="114"/>
      <c r="O51" s="114"/>
      <c r="P51" s="114"/>
    </row>
    <row r="52" spans="2:16" ht="15.75" customHeight="1" thickBot="1">
      <c r="B52" s="411">
        <v>1.2</v>
      </c>
      <c r="C52" s="412">
        <v>0.01</v>
      </c>
      <c r="D52" s="414"/>
      <c r="E52" s="404">
        <f t="shared" si="4"/>
        <v>0</v>
      </c>
      <c r="F52" s="146"/>
      <c r="H52" s="563"/>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44"/>
      <c r="I61" s="646"/>
      <c r="J61" s="647"/>
      <c r="K61" s="647"/>
      <c r="L61" s="648"/>
      <c r="M61" s="114"/>
      <c r="N61" s="114"/>
      <c r="O61" s="114"/>
      <c r="P61" s="114"/>
    </row>
    <row r="62" spans="2:16" ht="15.75" thickBot="1">
      <c r="B62" s="415"/>
      <c r="C62" s="402">
        <v>0.78</v>
      </c>
      <c r="D62" s="409"/>
      <c r="E62" s="404">
        <f t="shared" si="4"/>
        <v>0</v>
      </c>
      <c r="F62" s="150"/>
      <c r="H62" s="645"/>
      <c r="I62" s="649"/>
      <c r="J62" s="650"/>
      <c r="K62" s="650"/>
      <c r="L62" s="651"/>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43" t="s">
        <v>33</v>
      </c>
      <c r="C67" s="643"/>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61"/>
      <c r="I70" s="614"/>
      <c r="J70" s="615"/>
      <c r="K70" s="615"/>
      <c r="L70" s="616"/>
    </row>
    <row r="71" spans="2:16" ht="15.75" thickBot="1">
      <c r="F71" s="156"/>
      <c r="H71" s="563"/>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61"/>
      <c r="I82" s="614"/>
      <c r="J82" s="615"/>
      <c r="K82" s="615"/>
      <c r="L82" s="616"/>
    </row>
    <row r="83" spans="6:12" ht="15.75" thickBot="1">
      <c r="F83" s="146"/>
      <c r="H83" s="563"/>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27C502-4B1E-499B-A046-7D7F31CBA075}"/>
</file>

<file path=customXml/itemProps2.xml><?xml version="1.0" encoding="utf-8"?>
<ds:datastoreItem xmlns:ds="http://schemas.openxmlformats.org/officeDocument/2006/customXml" ds:itemID="{47D509A7-81EA-4B8F-84CD-AB0EB491BF39}"/>
</file>

<file path=customXml/itemProps3.xml><?xml version="1.0" encoding="utf-8"?>
<ds:datastoreItem xmlns:ds="http://schemas.openxmlformats.org/officeDocument/2006/customXml" ds:itemID="{C2214E22-870D-4E19-958A-A781A8B1CE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2025-12-01T09:57:43Z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