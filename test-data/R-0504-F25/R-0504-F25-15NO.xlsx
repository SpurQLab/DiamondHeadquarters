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3"/>
  <workbookPr defaultThemeVersion="124226"/>
  <xr:revisionPtr revIDLastSave="0" documentId="11_B2E2D515028DD9BFC4B2B46219573E1A1F5A8E16" xr6:coauthVersionLast="47" xr6:coauthVersionMax="47" xr10:uidLastSave="{00000000-0000-0000-0000-000000000000}"/>
  <bookViews>
    <workbookView xWindow="-15" yWindow="-15" windowWidth="24060" windowHeight="9735"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5" i="1"/>
  <c r="E6" i="1"/>
  <c r="F7" i="1" l="1"/>
  <c r="D13" i="5"/>
  <c r="E12" i="5"/>
  <c r="E11" i="5"/>
  <c r="E10" i="5"/>
  <c r="E9" i="5"/>
  <c r="E8" i="5"/>
  <c r="E7" i="5"/>
  <c r="E6" i="5"/>
  <c r="E13" i="5" s="1"/>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<sst xmlns="http://schemas.openxmlformats.org/spreadsheetml/2006/main" count="1655" uniqueCount="902">
  <si>
    <t xml:space="preserve">             Sub.Ctg  :-</t>
  </si>
  <si>
    <t>GEN</t>
  </si>
  <si>
    <t xml:space="preserve">      Casting Pcs  :-  </t>
  </si>
  <si>
    <t>Dia Pcs</t>
  </si>
  <si>
    <t>Metal</t>
  </si>
  <si>
    <t>18k</t>
  </si>
  <si>
    <t>9kt</t>
  </si>
  <si>
    <t>DV</t>
  </si>
  <si>
    <t>Dia Wt</t>
  </si>
  <si>
    <t>Tikali</t>
  </si>
  <si>
    <t>14k</t>
  </si>
  <si>
    <t>Silver</t>
  </si>
  <si>
    <t>Platinum950</t>
  </si>
  <si>
    <t>Shaph</t>
  </si>
  <si>
    <t>OD</t>
  </si>
  <si>
    <t>ID</t>
  </si>
  <si>
    <t>Pcs</t>
  </si>
  <si>
    <t>SHAPE</t>
  </si>
  <si>
    <t>SIEVE SIZE</t>
  </si>
  <si>
    <t>MM SIZE</t>
  </si>
  <si>
    <t>PTS</t>
  </si>
  <si>
    <t>QTY.</t>
  </si>
  <si>
    <t>WEIGHT</t>
  </si>
  <si>
    <t>RND</t>
  </si>
  <si>
    <t>EMR</t>
  </si>
  <si>
    <t>7X5</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</si>
  <si>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</si>
  <si>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</si>
  <si>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</si>
  <si>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</si>
  <si>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</si>
  <si>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</si>
  <si>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</si>
  <si>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</si>
  <si>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</si>
  <si>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</si>
  <si>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</si>
  <si>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</si>
  <si>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</si>
  <si>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</si>
  <si>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</si>
  <si>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</si>
  <si>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</si>
  <si>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</si>
  <si>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</si>
  <si>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</si>
  <si>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</si>
  <si>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</si>
  <si>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</si>
  <si>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</si>
  <si>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</si>
  <si>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</si>
  <si>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</si>
  <si>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</si>
  <si>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</si>
  <si>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</si>
  <si>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</si>
  <si>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</si>
  <si>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</si>
  <si>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</si>
  <si>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</si>
  <si>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</si>
  <si>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</si>
  <si>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</si>
  <si>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</si>
  <si>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</si>
  <si>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</si>
  <si>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</si>
  <si>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</si>
  <si>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</si>
  <si>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</si>
  <si>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</si>
  <si>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</si>
  <si>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</si>
  <si>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</si>
  <si>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6.6X4.3</t>
  </si>
  <si>
    <t>+6.0-6.5</t>
  </si>
  <si>
    <t>5.8x4.5</t>
  </si>
  <si>
    <t>MELE</t>
  </si>
  <si>
    <t>7.5X4.9</t>
  </si>
  <si>
    <t>+6.5-7.0</t>
  </si>
  <si>
    <t>5.1X3.7</t>
  </si>
  <si>
    <t>+7.0-7.5</t>
  </si>
  <si>
    <t>+7.5-8.0</t>
  </si>
  <si>
    <t>+8.0-8.5</t>
  </si>
  <si>
    <t>8.4X5.6</t>
  </si>
  <si>
    <t>+8.5-9.0</t>
  </si>
  <si>
    <t>9.7X6.3</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</si>
  <si>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</si>
  <si>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</si>
  <si>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</si>
  <si>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</si>
  <si>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</si>
  <si>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</si>
  <si>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</si>
  <si>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</si>
  <si>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</si>
  <si>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</si>
  <si>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</si>
  <si>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</si>
  <si>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</si>
  <si>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</si>
  <si>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</si>
  <si>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</si>
  <si>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</si>
  <si>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</si>
  <si>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</si>
  <si>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</si>
  <si>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</si>
  <si>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</si>
  <si>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</si>
  <si>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</si>
  <si>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</si>
  <si>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</si>
  <si>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</si>
  <si>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</si>
  <si>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</si>
  <si>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</si>
  <si>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</si>
  <si>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</si>
  <si>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</si>
  <si>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</si>
  <si>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</si>
  <si>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</si>
  <si>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</si>
  <si>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</si>
  <si>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</si>
  <si>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</si>
  <si>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</si>
  <si>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</si>
  <si>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</si>
  <si>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</si>
  <si>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</si>
  <si>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</si>
  <si>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</si>
  <si>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</si>
  <si>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</si>
  <si>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</si>
  <si>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+19.5-20.0</t>
  </si>
  <si>
    <t>BLUE:- 2nd Prefference</t>
  </si>
  <si>
    <t>+20.0-20.5</t>
  </si>
  <si>
    <t>6X3</t>
  </si>
  <si>
    <t>+20.5</t>
  </si>
  <si>
    <t>RED:- NOT TO USE</t>
  </si>
  <si>
    <t>7.5X4</t>
  </si>
  <si>
    <t>****</t>
  </si>
  <si>
    <t>8.9X4.5</t>
  </si>
  <si>
    <t>9.8X5</t>
  </si>
  <si>
    <t>STONE</t>
  </si>
  <si>
    <t>11.8X5.9</t>
  </si>
  <si>
    <t>14x7</t>
  </si>
  <si>
    <t>16x8</t>
  </si>
  <si>
    <t>MARQUISE</t>
  </si>
  <si>
    <t>OVAL</t>
  </si>
  <si>
    <t>EMERALD</t>
  </si>
  <si>
    <t>3.5x2.5</t>
  </si>
  <si>
    <t>5x3</t>
  </si>
  <si>
    <t>5.9X4.4</t>
  </si>
  <si>
    <t>6.8X5</t>
  </si>
  <si>
    <t>7.9X5.5</t>
  </si>
  <si>
    <t>4x3</t>
  </si>
  <si>
    <t>8.7X6.4</t>
  </si>
  <si>
    <t>5x4</t>
  </si>
  <si>
    <t>10x8</t>
  </si>
  <si>
    <t>6X4</t>
  </si>
  <si>
    <t>11x9</t>
  </si>
  <si>
    <t>6.5X4.5</t>
  </si>
  <si>
    <t>12x10</t>
  </si>
  <si>
    <t>14x10</t>
  </si>
  <si>
    <t>7.5X5.5</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</si>
  <si>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</si>
  <si>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</si>
  <si>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</si>
  <si>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</si>
  <si>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</si>
  <si>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</si>
  <si>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</si>
  <si>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</si>
  <si>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</si>
  <si>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</si>
  <si>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</si>
  <si>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</si>
  <si>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</si>
  <si>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</si>
  <si>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</si>
  <si>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</si>
  <si>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</si>
  <si>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</si>
  <si>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</si>
  <si>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</si>
  <si>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</si>
  <si>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</si>
  <si>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</si>
  <si>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</si>
  <si>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</si>
  <si>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</si>
  <si>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</si>
  <si>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</si>
  <si>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</si>
  <si>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</si>
  <si>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</si>
  <si>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</si>
  <si>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</si>
  <si>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</si>
  <si>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</si>
  <si>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</si>
  <si>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</si>
  <si>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</si>
  <si>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</si>
  <si>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</si>
  <si>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</si>
  <si>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</si>
  <si>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5.7x4.5</t>
  </si>
  <si>
    <t>+6.0</t>
  </si>
  <si>
    <t>6.5--7</t>
  </si>
  <si>
    <t>+38-45</t>
  </si>
  <si>
    <t>7--7.5</t>
  </si>
  <si>
    <t>6x4.5</t>
  </si>
  <si>
    <t>+6.5</t>
  </si>
  <si>
    <t>7.5--8</t>
  </si>
  <si>
    <t>+45-70</t>
  </si>
  <si>
    <t>7x5</t>
  </si>
  <si>
    <t>+7.0</t>
  </si>
  <si>
    <t>8--8.5</t>
  </si>
  <si>
    <t>+70-90</t>
  </si>
  <si>
    <t>7.4x5</t>
  </si>
  <si>
    <t>+7.5</t>
  </si>
  <si>
    <t>8.5--9</t>
  </si>
  <si>
    <t>7.8x5</t>
  </si>
  <si>
    <t>+8.0</t>
  </si>
  <si>
    <t>9--9.5</t>
  </si>
  <si>
    <t>8x5</t>
  </si>
  <si>
    <t>+8.5</t>
  </si>
  <si>
    <t>9.5--10</t>
  </si>
  <si>
    <t>9x6</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</si>
  <si>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</si>
  <si>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</si>
  <si>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</si>
  <si>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</si>
  <si>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</si>
  <si>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</si>
  <si>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</si>
  <si>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</si>
  <si>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</si>
  <si>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</si>
  <si>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</si>
  <si>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</si>
  <si>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</si>
  <si>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</si>
  <si>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</si>
  <si>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</si>
  <si>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</si>
  <si>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</si>
  <si>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</si>
  <si>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</si>
  <si>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</si>
  <si>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</si>
  <si>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</si>
  <si>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</si>
  <si>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</si>
  <si>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</si>
  <si>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</si>
  <si>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</si>
  <si>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</si>
  <si>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</si>
  <si>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</si>
  <si>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</si>
  <si>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</si>
  <si>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</si>
  <si>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</si>
  <si>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</si>
  <si>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</si>
  <si>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</si>
  <si>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</si>
  <si>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</si>
  <si>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</si>
  <si>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6x3</t>
  </si>
  <si>
    <t>+19.5</t>
  </si>
  <si>
    <t>6.4x3.2</t>
  </si>
  <si>
    <t>+20</t>
  </si>
  <si>
    <t>7x3.5</t>
  </si>
  <si>
    <t>8x4</t>
  </si>
  <si>
    <t>9x4.5</t>
  </si>
  <si>
    <t>10x5</t>
  </si>
  <si>
    <t>12x6</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</si>
  <si>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</si>
  <si>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</si>
  <si>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</si>
  <si>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</si>
  <si>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</si>
  <si>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</si>
  <si>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</si>
  <si>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</si>
  <si>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</si>
  <si>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</si>
  <si>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</si>
  <si>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</si>
  <si>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</si>
  <si>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</si>
  <si>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</si>
  <si>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</si>
  <si>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</si>
  <si>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</si>
  <si>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</si>
  <si>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</si>
  <si>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</si>
  <si>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</si>
  <si>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</si>
  <si>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</si>
  <si>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</si>
  <si>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</si>
  <si>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</si>
  <si>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</si>
  <si>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</si>
  <si>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</si>
  <si>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</si>
  <si>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</si>
  <si>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</si>
  <si>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</si>
  <si>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</si>
  <si>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</si>
  <si>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</si>
  <si>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</si>
  <si>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</si>
  <si>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</si>
  <si>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</si>
  <si>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</si>
  <si>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</si>
  <si>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</si>
  <si>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</si>
  <si>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</si>
  <si>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</si>
  <si>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</si>
  <si>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</si>
  <si>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</si>
  <si>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</si>
  <si>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</si>
  <si>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</si>
  <si>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</si>
  <si>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</si>
  <si>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</si>
  <si>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</si>
  <si>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</si>
  <si>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</si>
  <si>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</si>
  <si>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</si>
  <si>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</si>
  <si>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</si>
  <si>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</si>
  <si>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</si>
  <si>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</si>
  <si>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</si>
  <si>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</si>
  <si>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</si>
  <si>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</si>
  <si>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</si>
  <si>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</si>
  <si>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</si>
  <si>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</si>
  <si>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</si>
  <si>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</si>
  <si>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</si>
  <si>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</si>
  <si>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</si>
  <si>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</si>
  <si>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</si>
  <si>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</si>
  <si>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</si>
  <si>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</si>
  <si>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</si>
  <si>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</si>
  <si>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</si>
  <si>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</si>
  <si>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</si>
  <si>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</si>
  <si>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</si>
  <si>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</si>
  <si>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</si>
  <si>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</si>
  <si>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</si>
  <si>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</si>
  <si>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</si>
  <si>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</si>
  <si>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</si>
  <si>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</si>
  <si>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</si>
  <si>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</si>
  <si>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</si>
  <si>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</si>
  <si>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</si>
  <si>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</si>
  <si>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</si>
  <si>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</si>
  <si>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</si>
  <si>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</si>
  <si>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</si>
  <si>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</si>
  <si>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</si>
  <si>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</si>
  <si>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</si>
  <si>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</si>
  <si>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</si>
  <si>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</si>
  <si>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</si>
  <si>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</si>
  <si>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3X1.5</t>
  </si>
  <si>
    <t>4X2</t>
  </si>
  <si>
    <t>6x4</t>
  </si>
  <si>
    <t>8X6</t>
  </si>
  <si>
    <t>5X2.5</t>
  </si>
  <si>
    <t>9X7</t>
  </si>
  <si>
    <t>8x6</t>
  </si>
  <si>
    <t>10X8</t>
  </si>
  <si>
    <t>7X3.5</t>
  </si>
  <si>
    <t>9x7</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</si>
  <si>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</si>
  <si>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</si>
  <si>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</si>
  <si>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</si>
  <si>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</si>
  <si>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</si>
  <si>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</si>
  <si>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</si>
  <si>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</si>
  <si>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</si>
  <si>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</si>
  <si>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</si>
  <si>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</si>
  <si>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</si>
  <si>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</si>
  <si>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</si>
  <si>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</si>
  <si>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</si>
  <si>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</si>
  <si>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</si>
  <si>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</si>
  <si>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</si>
  <si>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</si>
  <si>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</si>
  <si>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</si>
  <si>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</si>
  <si>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</si>
  <si>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</si>
  <si>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</si>
  <si>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</si>
  <si>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</si>
  <si>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</si>
  <si>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</si>
  <si>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</si>
  <si>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</si>
  <si>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</si>
  <si>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</si>
  <si>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</si>
  <si>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</si>
  <si>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</si>
  <si>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</si>
  <si>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</si>
  <si>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</si>
  <si>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</si>
  <si>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</si>
  <si>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</si>
  <si>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</si>
  <si>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</si>
  <si>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</si>
  <si>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</si>
  <si>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</si>
  <si>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</si>
  <si>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</si>
  <si>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</si>
  <si>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</si>
  <si>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</si>
  <si>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</si>
  <si>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</si>
  <si>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</si>
  <si>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</si>
  <si>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</si>
  <si>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</si>
  <si>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</si>
  <si>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</si>
  <si>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</si>
  <si>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</si>
  <si>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</si>
  <si>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</si>
  <si>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</si>
  <si>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</si>
  <si>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</si>
  <si>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</si>
  <si>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</si>
  <si>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</si>
  <si>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</si>
  <si>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</si>
  <si>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</si>
  <si>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</si>
  <si>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</si>
  <si>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</si>
  <si>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</si>
  <si>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</si>
  <si>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</si>
  <si>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</si>
  <si>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</si>
  <si>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</si>
  <si>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</si>
  <si>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</si>
  <si>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</si>
  <si>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</si>
  <si>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</si>
  <si>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</si>
  <si>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</si>
  <si>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</si>
  <si>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</si>
  <si>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</si>
  <si>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</si>
  <si>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</si>
  <si>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</si>
  <si>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</si>
  <si>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</si>
  <si>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</si>
  <si>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</si>
  <si>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</si>
  <si>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</si>
  <si>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</si>
  <si>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</si>
  <si>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</si>
  <si>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</si>
  <si>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</si>
  <si>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</si>
  <si>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</si>
  <si>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</si>
  <si>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</si>
  <si>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</si>
  <si>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</si>
  <si>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</si>
  <si>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</si>
  <si>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</si>
  <si>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</si>
  <si>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</si>
  <si>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</si>
  <si>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</si>
  <si>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</si>
  <si>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</si>
  <si>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</si>
  <si>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</si>
  <si>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</si>
  <si>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</si>
  <si>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</si>
  <si>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</si>
  <si>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</si>
  <si>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</si>
  <si>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</si>
  <si>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</si>
  <si>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</si>
  <si>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</si>
  <si>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</si>
  <si>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</si>
  <si>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</si>
  <si>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</si>
  <si>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</si>
  <si>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</si>
  <si>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</si>
  <si>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</si>
  <si>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</si>
  <si>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</si>
  <si>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</si>
  <si>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</si>
  <si>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</si>
  <si>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</si>
  <si>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</si>
  <si>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</si>
  <si>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</si>
  <si>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</si>
  <si>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</si>
  <si>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</si>
  <si>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</si>
  <si>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</si>
  <si>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</si>
  <si>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</si>
  <si>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</si>
  <si>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</si>
  <si>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</si>
  <si>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</si>
  <si>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</si>
  <si>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</si>
  <si>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</si>
  <si>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</si>
  <si>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</si>
  <si>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</si>
  <si>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</si>
  <si>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</si>
  <si>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</si>
  <si>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</si>
  <si>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</si>
  <si>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</si>
  <si>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</si>
  <si>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</si>
  <si>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</si>
  <si>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</si>
  <si>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</si>
  <si>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</si>
  <si>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</si>
  <si>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</si>
  <si>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</si>
  <si>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</si>
  <si>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</si>
  <si>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</si>
  <si>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</si>
  <si>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</si>
  <si>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</si>
  <si>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</si>
  <si>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</si>
  <si>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</si>
  <si>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</si>
  <si>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</si>
  <si>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</si>
  <si>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</si>
  <si>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</si>
  <si>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</si>
  <si>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</si>
  <si>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</si>
  <si>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</si>
  <si>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</si>
  <si>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</si>
  <si>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</si>
  <si>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</si>
  <si>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</si>
  <si>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</si>
  <si>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</si>
  <si>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</si>
  <si>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</si>
  <si>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</si>
  <si>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</si>
  <si>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</si>
  <si>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</si>
  <si>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</si>
  <si>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</si>
  <si>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</si>
  <si>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</si>
  <si>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</si>
  <si>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</si>
  <si>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</si>
  <si>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</si>
  <si>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</si>
  <si>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</si>
  <si>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</si>
  <si>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</si>
  <si>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</si>
  <si>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</si>
  <si>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</si>
  <si>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</si>
  <si>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</si>
  <si>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</si>
  <si>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</si>
  <si>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</si>
  <si>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</si>
  <si>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</si>
  <si>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</si>
  <si>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</si>
  <si>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</si>
  <si>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</si>
  <si>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</si>
  <si>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</si>
  <si>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</si>
  <si>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</si>
  <si>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</si>
  <si>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</si>
  <si>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</si>
  <si>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</si>
  <si>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</si>
  <si>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</si>
  <si>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</si>
  <si>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</si>
  <si>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</si>
  <si>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</si>
  <si>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</si>
  <si>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</si>
  <si>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</si>
  <si>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</si>
  <si>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</si>
  <si>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</si>
  <si>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</si>
  <si>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</si>
  <si>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</si>
  <si>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</si>
  <si>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</si>
  <si>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</si>
  <si>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</si>
  <si>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</si>
  <si>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</si>
  <si>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</si>
  <si>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</si>
  <si>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</si>
  <si>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</si>
  <si>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</si>
  <si>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</si>
  <si>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</si>
  <si>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</si>
  <si>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</si>
  <si>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</si>
  <si>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</si>
  <si>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</si>
  <si>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</si>
  <si>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</si>
  <si>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</si>
  <si>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</si>
  <si>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</si>
  <si>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</si>
  <si>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</si>
  <si>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</si>
  <si>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</si>
  <si>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</si>
  <si>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</si>
  <si>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</si>
  <si>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</si>
  <si>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</si>
  <si>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</si>
  <si>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</si>
  <si>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</si>
  <si>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</si>
  <si>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</si>
  <si>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</si>
  <si>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</si>
  <si>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</si>
  <si>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</si>
  <si>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</si>
  <si>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</si>
  <si>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</si>
  <si>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</si>
  <si>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</si>
  <si>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</si>
  <si>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</si>
  <si>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</si>
  <si>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</si>
  <si>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</si>
  <si>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</si>
  <si>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</si>
  <si>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</si>
  <si>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</si>
  <si>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</si>
  <si>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</si>
  <si>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</si>
  <si>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</si>
  <si>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</si>
  <si>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</si>
  <si>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</si>
  <si>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</si>
  <si>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</si>
  <si>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</si>
  <si>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</si>
  <si>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</si>
  <si>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</si>
  <si>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</si>
  <si>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</si>
  <si>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</si>
  <si>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</si>
  <si>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</si>
  <si>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</si>
  <si>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</si>
  <si>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</si>
  <si>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</si>
  <si>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</si>
  <si>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</si>
  <si>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</si>
  <si>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</si>
  <si>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</si>
  <si>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</si>
  <si>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</si>
  <si>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</si>
  <si>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</si>
  <si>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</si>
  <si>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</si>
  <si>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</si>
  <si>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</si>
  <si>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</si>
  <si>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</si>
  <si>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</si>
  <si>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</si>
  <si>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</si>
  <si>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</si>
  <si>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</si>
  <si>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</si>
  <si>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</si>
  <si>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</si>
  <si>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</si>
  <si>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</si>
  <si>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</si>
  <si>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</si>
  <si>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</si>
  <si>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</si>
  <si>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</si>
  <si>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</si>
  <si>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</si>
  <si>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</si>
  <si>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</si>
  <si>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</si>
  <si>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</si>
  <si>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</si>
  <si>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</si>
  <si>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</si>
  <si>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</si>
  <si>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</si>
  <si>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</si>
  <si>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</si>
  <si>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</si>
  <si>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</si>
  <si>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</si>
  <si>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</si>
  <si>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</si>
  <si>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</si>
  <si>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</si>
  <si>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</si>
  <si>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</si>
  <si>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</si>
  <si>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</si>
  <si>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</si>
  <si>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</si>
  <si>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</si>
  <si>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</si>
  <si>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</si>
  <si>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</si>
  <si>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</si>
  <si>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</si>
  <si>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</si>
  <si>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</si>
  <si>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</si>
  <si>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</si>
  <si>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</si>
  <si>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</si>
  <si>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</si>
  <si>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</si>
  <si>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</si>
  <si>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</si>
  <si>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</si>
  <si>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</si>
  <si>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</si>
  <si>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</si>
  <si>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MM</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</si>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</sst>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31">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
      <patternFill patternType="solid">
        <fgColor theme="2" tint="-9.9978637043366805E-2"/>
        <bgColor indexed="64"/>
      </patternFill>
    </fill>
    <fill>
      <patternFill patternType="solid">
        <fgColor theme="2" tint="-0.249977111117893"/>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53">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2" fontId="0" fillId="29" borderId="18" xfId="0" applyNumberFormat="1" applyFill="1" applyBorder="1" applyAlignment="1" applyProtection="1">
      <alignment horizontal="center" vertical="center"/>
      <protection hidden="1"/>
    </xf>
    <xf numFmtId="2" fontId="0" fillId="29" borderId="19" xfId="0" applyNumberFormat="1" applyFill="1" applyBorder="1" applyAlignment="1" applyProtection="1">
      <alignment horizontal="center" vertical="center"/>
      <protection hidden="1"/>
    </xf>
    <xf numFmtId="2" fontId="0" fillId="29" borderId="2" xfId="0" applyNumberFormat="1" applyFill="1" applyBorder="1" applyAlignment="1" applyProtection="1">
      <alignment horizontal="center" vertical="center"/>
      <protection hidden="1"/>
    </xf>
    <xf numFmtId="2" fontId="0" fillId="29" borderId="1" xfId="0" applyNumberFormat="1" applyFill="1" applyBorder="1" applyAlignment="1" applyProtection="1">
      <alignment horizontal="center" vertical="center"/>
      <protection hidden="1"/>
    </xf>
    <xf numFmtId="2" fontId="0" fillId="30" borderId="1" xfId="0" applyNumberFormat="1" applyFill="1" applyBorder="1" applyAlignment="1" applyProtection="1">
      <alignment horizontal="center" vertical="center"/>
      <protection hidden="1"/>
    </xf>
    <xf numFmtId="164" fontId="0" fillId="30" borderId="1" xfId="0" applyNumberFormat="1" applyFill="1" applyBorder="1" applyAlignment="1" applyProtection="1">
      <alignment horizontal="center" vertical="center"/>
      <protection hidden="1"/>
    </xf>
    <xf numFmtId="0" fontId="0" fillId="30" borderId="1" xfId="0" applyFill="1" applyBorder="1" applyAlignment="1" applyProtection="1">
      <alignment horizontal="center" vertical="center"/>
      <protection hidden="1"/>
    </xf>
    <xf numFmtId="164" fontId="0" fillId="30" borderId="20" xfId="0" applyNumberFormat="1" applyFill="1" applyBorder="1" applyAlignment="1" applyProtection="1">
      <alignment horizontal="center" vertical="center"/>
      <protection hidden="1"/>
    </xf>
    <xf numFmtId="2" fontId="0" fillId="30" borderId="2" xfId="0" applyNumberFormat="1" applyFill="1" applyBorder="1" applyAlignment="1" applyProtection="1">
      <alignment horizontal="center" vertical="center"/>
      <protection hidden="1"/>
    </xf>
    <xf numFmtId="2" fontId="3" fillId="30" borderId="1" xfId="0" applyNumberFormat="1" applyFont="1" applyFill="1" applyBorder="1" applyAlignment="1" applyProtection="1">
      <alignment horizontal="center" vertical="center"/>
      <protection hidden="1"/>
    </xf>
    <xf numFmtId="164" fontId="3" fillId="30" borderId="1" xfId="0" applyNumberFormat="1" applyFon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locked="0" hidden="1"/>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0" fillId="11" borderId="9" xfId="0" applyFont="1" applyFill="1" applyBorder="1" applyAlignment="1">
      <alignment horizontal="center" vertical="center"/>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49" fillId="0" borderId="1" xfId="0" applyFont="1" applyBorder="1" applyAlignment="1">
      <alignment horizontal="center" vertical="center" wrapText="1"/>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 fillId="0" borderId="9" xfId="0" applyFont="1" applyBorder="1" applyAlignment="1">
      <alignment horizontal="center" vertical="center"/>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workbookViewId="0">
      <selection activeCell="E6" sqref="E6"/>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86" t="e">
        <f ca="1">MID(CELL("filename",A2),SEARCH("[",CELL("filename",A2))+1,SEARCH(".",CELL("filename",A2))-1-SEARCH("[",CELL("filename",A2)))</f>
        <v>#VALUE!</v>
      </c>
      <c r="D3" s="487"/>
      <c r="E3" s="487"/>
      <c r="F3" s="487"/>
      <c r="G3" s="487"/>
      <c r="H3" s="488"/>
      <c r="L3" s="291"/>
      <c r="M3" s="221"/>
      <c r="P3" s="219"/>
      <c r="Q3" s="219"/>
      <c r="R3" s="219"/>
      <c r="S3" s="219"/>
    </row>
    <row r="4" spans="3:19" ht="19.5" thickBot="1">
      <c r="C4" s="499" t="s">
        <v>0</v>
      </c>
      <c r="D4" s="500"/>
      <c r="E4" s="360" t="s">
        <v>1</v>
      </c>
      <c r="F4" s="501" t="s">
        <v>2</v>
      </c>
      <c r="G4" s="502"/>
      <c r="H4" s="361">
        <v>1</v>
      </c>
      <c r="J4" s="365" t="s">
        <v>3</v>
      </c>
      <c r="K4" s="366">
        <f>G39/E6</f>
        <v>10.890184781845008</v>
      </c>
      <c r="L4" s="221"/>
      <c r="M4" s="362"/>
      <c r="P4" s="219"/>
      <c r="Q4" s="219"/>
      <c r="R4" s="219"/>
      <c r="S4" s="219"/>
    </row>
    <row r="5" spans="3:19" ht="15.75" customHeight="1" thickBot="1">
      <c r="C5" s="489" t="s">
        <v>4</v>
      </c>
      <c r="D5" s="367" t="s">
        <v>5</v>
      </c>
      <c r="E5" s="473">
        <v>3.31</v>
      </c>
      <c r="F5" s="367" t="s">
        <v>6</v>
      </c>
      <c r="G5" s="368">
        <f>E5*0.75</f>
        <v>2.4824999999999999</v>
      </c>
      <c r="H5" s="494" t="s">
        <v>7</v>
      </c>
      <c r="J5" s="365" t="s">
        <v>8</v>
      </c>
      <c r="K5" s="366">
        <f>H39/E6</f>
        <v>0.49884072226515841</v>
      </c>
      <c r="L5" s="221"/>
      <c r="M5" s="362"/>
      <c r="P5" s="491" t="s">
        <v>9</v>
      </c>
      <c r="Q5" s="492"/>
      <c r="R5" s="492"/>
      <c r="S5" s="493"/>
    </row>
    <row r="6" spans="3:19" ht="15.75" customHeight="1" thickBot="1">
      <c r="C6" s="490"/>
      <c r="D6" s="470" t="s">
        <v>10</v>
      </c>
      <c r="E6" s="471">
        <f>E5*0.86</f>
        <v>2.8466</v>
      </c>
      <c r="F6" s="472" t="s">
        <v>11</v>
      </c>
      <c r="G6" s="471">
        <f>E5*0.7</f>
        <v>2.3169999999999997</v>
      </c>
      <c r="H6" s="495"/>
      <c r="J6" s="365"/>
      <c r="K6" s="366"/>
      <c r="L6" s="221"/>
      <c r="M6" s="362"/>
      <c r="P6" s="467"/>
      <c r="Q6" s="468"/>
      <c r="R6" s="468"/>
      <c r="S6" s="469"/>
    </row>
    <row r="7" spans="3:19" ht="15.75" customHeight="1" thickBot="1">
      <c r="C7" s="652"/>
      <c r="D7" s="503" t="s">
        <v>12</v>
      </c>
      <c r="E7" s="504"/>
      <c r="F7" s="505">
        <f>E5*1.45</f>
        <v>4.7995000000000001</v>
      </c>
      <c r="G7" s="506"/>
      <c r="H7" s="496"/>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hidden="1" customHeight="1">
      <c r="C9" s="372"/>
      <c r="D9" s="55">
        <f>IF(C9="RNDTRD",INDEX(DIAMOND!$B$9:$C$102,MATCH(E9,DIAMOND!$C$9:$C$102,0),1),IF(C9="RND",INDEX(DIAMOND!$B$9:$C$102,MATCH(E9,DIAMOND!$C$9:$C$102,0),1),IF(C9="PRI",INDEX(DIAMOND!$M$9:$N$63,MATCH(E9,DIAMOND!$N$9:$N$63,0),1),IF(C9="MRQ",INDEX(DIAMOND!$S$40:$T$58,MATCH(E9,DIAMOND!$T$40:$T$58,0),1),IF(C9="PRS",INDEX(DIAMOND!$S$9:$T$35,MATCH(E9,DIAMOND!$T$9:$T$63,0),1),0)))))</f>
        <v>0</v>
      </c>
      <c r="E9" s="220"/>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v>
      </c>
      <c r="G9" s="59"/>
      <c r="H9" s="56">
        <f t="shared" ref="H9:H38" si="0">G9*F9</f>
        <v>0</v>
      </c>
      <c r="M9" s="293"/>
      <c r="P9" s="296"/>
      <c r="Q9" s="296"/>
      <c r="R9" s="296"/>
      <c r="S9" s="296"/>
    </row>
    <row r="10" spans="3:19" ht="15" customHeight="1">
      <c r="C10" s="372" t="s">
        <v>23</v>
      </c>
      <c r="D10" s="55" t="str">
        <f>IF(C10="RNDTRD",INDEX(DIAMOND!$B$9:$C$102,MATCH(E10,DIAMOND!$C$9:$C$102,0),1),IF(C10="RND",INDEX(DIAMOND!$B$9:$C$102,MATCH(E10,DIAMOND!$C$9:$C$102,0),1),IF(C10="PRI",INDEX(DIAMOND!$M$9:$N$63,MATCH(E10,DIAMOND!$N$9:$N$63,0),1),IF(C10="MRQ",INDEX(DIAMOND!$S$40:$T$58,MATCH(E10,DIAMOND!$T$40:$T$58,0),1),IF(C10="PRS",INDEX(DIAMOND!$S$9:$T$35,MATCH(E10,DIAMOND!$T$9:$T$63,0),1),0)))))</f>
        <v>+2.5-3.0</v>
      </c>
      <c r="E10" s="485">
        <v>1.3</v>
      </c>
      <c r="F10" s="2">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0.01</v>
      </c>
      <c r="G10" s="59">
        <v>18</v>
      </c>
      <c r="H10" s="56">
        <f t="shared" si="0"/>
        <v>0.18</v>
      </c>
      <c r="M10" s="294"/>
      <c r="P10" s="296"/>
      <c r="Q10" s="296"/>
      <c r="R10" s="296"/>
      <c r="S10" s="296"/>
    </row>
    <row r="11" spans="3:19" ht="15" customHeight="1">
      <c r="C11" s="372" t="s">
        <v>23</v>
      </c>
      <c r="D11" s="55" t="str">
        <f>IF(C11="RNDTRD",INDEX(DIAMOND!$B$9:$C$102,MATCH(E11,DIAMOND!$C$9:$C$102,0),1),IF(C11="RND",INDEX(DIAMOND!$B$9:$C$102,MATCH(E11,DIAMOND!$C$9:$C$102,0),1),IF(C11="PRI",INDEX(DIAMOND!$M$9:$N$63,MATCH(E11,DIAMOND!$N$9:$N$63,0),1),IF(C11="MRQ",INDEX(DIAMOND!$S$40:$T$58,MATCH(E11,DIAMOND!$T$40:$T$58,0),1),IF(C11="PRS",INDEX(DIAMOND!$S$9:$T$35,MATCH(E11,DIAMOND!$T$9:$T$63,0),1),0)))))</f>
        <v>+6.0-6.5</v>
      </c>
      <c r="E11" s="220">
        <v>1.7</v>
      </c>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0.02</v>
      </c>
      <c r="G11" s="59">
        <v>12</v>
      </c>
      <c r="H11" s="56">
        <f t="shared" si="0"/>
        <v>0.24</v>
      </c>
      <c r="M11" s="293"/>
      <c r="P11" s="296"/>
      <c r="Q11" s="296"/>
      <c r="R11" s="296"/>
      <c r="S11" s="296"/>
    </row>
    <row r="12" spans="3:19" ht="15" customHeight="1" thickBot="1">
      <c r="C12" s="372" t="s">
        <v>24</v>
      </c>
      <c r="D12" s="55">
        <f>IF(C12="RNDTRD",INDEX(DIAMOND!$B$9:$C$102,MATCH(E12,DIAMOND!$C$9:$C$102,0),1),IF(C12="RND",INDEX(DIAMOND!$B$9:$C$102,MATCH(E12,DIAMOND!$C$9:$C$102,0),1),IF(C12="PRI",INDEX(DIAMOND!$M$9:$N$63,MATCH(E12,DIAMOND!$N$9:$N$63,0),1),IF(C12="MRQ",INDEX(DIAMOND!$S$40:$T$58,MATCH(E12,DIAMOND!$T$40:$T$58,0),1),IF(C12="PRS",INDEX(DIAMOND!$S$9:$T$35,MATCH(E12,DIAMOND!$T$9:$T$63,0),1),0)))))</f>
        <v>0</v>
      </c>
      <c r="E12" s="220" t="s">
        <v>25</v>
      </c>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1</v>
      </c>
      <c r="G12" s="59">
        <v>1</v>
      </c>
      <c r="H12" s="56">
        <f t="shared" si="0"/>
        <v>1</v>
      </c>
      <c r="P12" s="296"/>
      <c r="Q12" s="296"/>
      <c r="R12" s="296"/>
      <c r="S12" s="296"/>
    </row>
    <row r="13" spans="3:19" ht="15" hidden="1" customHeight="1">
      <c r="C13" s="372" t="s">
        <v>23</v>
      </c>
      <c r="D13" s="55" t="e">
        <f>IF(C13="RNDTRD",INDEX(DIAMOND!$B$9:$C$102,MATCH(E13,DIAMOND!$C$9:$C$102,0),1),IF(C13="RND",INDEX(DIAMOND!$B$9:$C$102,MATCH(E13,DIAMOND!$C$9:$C$102,0),1),IF(C13="PRI",INDEX(DIAMOND!$M$9:$N$63,MATCH(E13,DIAMOND!$N$9:$N$63,0),1),IF(C13="MRQ",INDEX(DIAMOND!$S$40:$T$58,MATCH(E13,DIAMOND!$T$40:$T$58,0),1),IF(C13="PRS",INDEX(DIAMOND!$S$9:$T$35,MATCH(E13,DIAMOND!$T$9:$T$63,0),1),0)))))</f>
        <v>#N/A</v>
      </c>
      <c r="E13" s="220"/>
      <c r="F13" s="2" t="e">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#N/A</v>
      </c>
      <c r="G13" s="59"/>
      <c r="H13" s="56" t="e">
        <f t="shared" si="0"/>
        <v>#N/A</v>
      </c>
      <c r="M13" s="293"/>
      <c r="P13" s="296"/>
      <c r="Q13" s="296"/>
      <c r="R13" s="296"/>
      <c r="S13" s="296"/>
    </row>
    <row r="14" spans="3:19" ht="15" hidden="1" customHeight="1">
      <c r="C14" s="372" t="s">
        <v>23</v>
      </c>
      <c r="D14" s="55" t="e">
        <f>IF(C14="RNDTRD",INDEX(DIAMOND!$B$9:$C$102,MATCH(E14,DIAMOND!$C$9:$C$102,0),1),IF(C14="RND",INDEX(DIAMOND!$B$9:$C$102,MATCH(E14,DIAMOND!$C$9:$C$102,0),1),IF(C14="PRI",INDEX(DIAMOND!$M$9:$N$63,MATCH(E14,DIAMOND!$N$9:$N$63,0),1),IF(C14="MRQ",INDEX(DIAMOND!$S$40:$T$58,MATCH(E14,DIAMOND!$T$40:$T$58,0),1),IF(C14="PRS",INDEX(DIAMOND!$S$9:$T$35,MATCH(E14,DIAMOND!$T$9:$T$63,0),1),0)))))</f>
        <v>#N/A</v>
      </c>
      <c r="E14" s="220"/>
      <c r="F14" s="2" t="e">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#N/A</v>
      </c>
      <c r="G14" s="59"/>
      <c r="H14" s="56" t="e">
        <f t="shared" si="0"/>
        <v>#N/A</v>
      </c>
      <c r="M14" s="293"/>
      <c r="P14" s="296"/>
      <c r="Q14" s="296"/>
      <c r="R14" s="296"/>
      <c r="S14" s="296"/>
    </row>
    <row r="15" spans="3:19" ht="15" hidden="1" customHeight="1">
      <c r="C15" s="372" t="s">
        <v>23</v>
      </c>
      <c r="D15" s="55" t="e">
        <f>IF(C15="RNDTRD",INDEX(DIAMOND!$B$9:$C$102,MATCH(E15,DIAMOND!$C$9:$C$102,0),1),IF(C15="RND",INDEX(DIAMOND!$B$9:$C$102,MATCH(E15,DIAMOND!$C$9:$C$102,0),1),IF(C15="PRI",INDEX(DIAMOND!$M$9:$N$63,MATCH(E15,DIAMOND!$N$9:$N$63,0),1),IF(C15="MRQ",INDEX(DIAMOND!$S$40:$T$58,MATCH(E15,DIAMOND!$T$40:$T$58,0),1),IF(C15="PRS",INDEX(DIAMOND!$S$9:$T$35,MATCH(E15,DIAMOND!$T$9:$T$63,0),1),0)))))</f>
        <v>#N/A</v>
      </c>
      <c r="E15" s="220"/>
      <c r="F15" s="2" t="e">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#N/A</v>
      </c>
      <c r="G15" s="59"/>
      <c r="H15" s="56" t="e">
        <f t="shared" si="0"/>
        <v>#N/A</v>
      </c>
      <c r="P15" s="296"/>
      <c r="Q15" s="296"/>
      <c r="R15" s="296"/>
      <c r="S15" s="296"/>
    </row>
    <row r="16" spans="3:19" ht="15.75" hidden="1" customHeight="1">
      <c r="C16" s="372" t="s">
        <v>23</v>
      </c>
      <c r="D16" s="55" t="e">
        <f>IF(C16="RNDTRD",INDEX(DIAMOND!$B$9:$C$102,MATCH(E16,DIAMOND!$C$9:$C$102,0),1),IF(C16="RND",INDEX(DIAMOND!$B$9:$C$102,MATCH(E16,DIAMOND!$C$9:$C$102,0),1),IF(C16="PRI",INDEX(DIAMOND!$M$9:$N$63,MATCH(E16,DIAMOND!$N$9:$N$63,0),1),IF(C16="MRQ",INDEX(DIAMOND!$S$40:$T$58,MATCH(E16,DIAMOND!$T$40:$T$58,0),1),IF(C16="PRS",INDEX(DIAMOND!$S$9:$T$35,MATCH(E16,DIAMOND!$T$9:$T$63,0),1),0)))))</f>
        <v>#N/A</v>
      </c>
      <c r="E16" s="220"/>
      <c r="F16" s="2" t="e">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#N/A</v>
      </c>
      <c r="G16" s="59"/>
      <c r="H16" s="56" t="e">
        <f t="shared" si="0"/>
        <v>#N/A</v>
      </c>
      <c r="M16" s="293"/>
      <c r="P16" s="296"/>
      <c r="Q16" s="296"/>
      <c r="R16" s="296"/>
      <c r="S16" s="296"/>
    </row>
    <row r="17" spans="3:19" ht="15" hidden="1" customHeight="1">
      <c r="C17" s="372" t="s">
        <v>23</v>
      </c>
      <c r="D17" s="55" t="e">
        <f>IF(C17="RNDTRD",INDEX(DIAMOND!$B$9:$C$102,MATCH(E17,DIAMOND!$C$9:$C$102,0),1),IF(C17="RND",INDEX(DIAMOND!$B$9:$C$102,MATCH(E17,DIAMOND!$C$9:$C$102,0),1),IF(C17="PRI",INDEX(DIAMOND!$M$9:$N$63,MATCH(E17,DIAMOND!$N$9:$N$63,0),1),IF(C17="MRQ",INDEX(DIAMOND!$S$40:$T$58,MATCH(E17,DIAMOND!$T$40:$T$58,0),1),IF(C17="PRS",INDEX(DIAMOND!$S$9:$T$35,MATCH(E17,DIAMOND!$T$9:$T$63,0),1),0)))))</f>
        <v>#N/A</v>
      </c>
      <c r="E17" s="220"/>
      <c r="F17" s="2" t="e">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#N/A</v>
      </c>
      <c r="G17" s="59"/>
      <c r="H17" s="56" t="e">
        <f t="shared" si="0"/>
        <v>#N/A</v>
      </c>
      <c r="P17" s="296"/>
      <c r="Q17" s="296"/>
      <c r="R17" s="296"/>
      <c r="S17" s="296"/>
    </row>
    <row r="18" spans="3:19" ht="15" hidden="1" customHeight="1">
      <c r="C18" s="372" t="s">
        <v>23</v>
      </c>
      <c r="D18" s="55" t="e">
        <f>IF(C18="RNDTRD",INDEX(DIAMOND!$B$9:$C$102,MATCH(E18,DIAMOND!$C$9:$C$102,0),1),IF(C18="RND",INDEX(DIAMOND!$B$9:$C$102,MATCH(E18,DIAMOND!$C$9:$C$102,0),1),IF(C18="PRI",INDEX(DIAMOND!$M$9:$N$63,MATCH(E18,DIAMOND!$N$9:$N$63,0),1),IF(C18="MRQ",INDEX(DIAMOND!$S$40:$T$58,MATCH(E18,DIAMOND!$T$40:$T$58,0),1),IF(C18="PRS",INDEX(DIAMOND!$S$9:$T$35,MATCH(E18,DIAMOND!$T$9:$T$63,0),1),0)))))</f>
        <v>#N/A</v>
      </c>
      <c r="E18" s="220"/>
      <c r="F18" s="2" t="e">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#N/A</v>
      </c>
      <c r="G18" s="59"/>
      <c r="H18" s="56" t="e">
        <f t="shared" si="0"/>
        <v>#N/A</v>
      </c>
      <c r="P18" s="296"/>
      <c r="Q18" s="296"/>
      <c r="R18" s="296"/>
      <c r="S18" s="296"/>
    </row>
    <row r="19" spans="3:19" ht="15" hidden="1" customHeight="1" thickBot="1">
      <c r="C19" s="372" t="s">
        <v>23</v>
      </c>
      <c r="D19" s="55" t="e">
        <f>IF(C19="RNDTRD",INDEX(DIAMOND!$B$9:$C$102,MATCH(E19,DIAMOND!$C$9:$C$102,0),1),IF(C19="RND",INDEX(DIAMOND!$B$9:$C$102,MATCH(E19,DIAMOND!$C$9:$C$102,0),1),IF(C19="PRI",INDEX(DIAMOND!$M$9:$N$63,MATCH(E19,DIAMOND!$N$9:$N$63,0),1),IF(C19="MRQ",INDEX(DIAMOND!$S$40:$T$58,MATCH(E19,DIAMOND!$T$40:$T$58,0),1),IF(C19="PRS",INDEX(DIAMOND!$S$9:$T$35,MATCH(E19,DIAMOND!$T$9:$T$63,0),1),0)))))</f>
        <v>#N/A</v>
      </c>
      <c r="E19" s="220"/>
      <c r="F19" s="2" t="e">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#N/A</v>
      </c>
      <c r="G19" s="59"/>
      <c r="H19" s="56" t="e">
        <f t="shared" si="0"/>
        <v>#N/A</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97" t="s">
        <v>26</v>
      </c>
      <c r="D39" s="498"/>
      <c r="E39" s="498"/>
      <c r="F39" s="498"/>
      <c r="G39" s="373">
        <f>SUMIF(G9:G38,"&gt;0",G9:G38)</f>
        <v>31</v>
      </c>
      <c r="H39" s="374">
        <f>SUMIF(H9:H38,"&gt;0",H9:H38)</f>
        <v>1.42</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4:H6 F8:H39 E8:E9 E11:E39 C8:D39">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N57" workbookViewId="0">
      <selection activeCell="T61" sqref="T61:W61"/>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522" t="s">
        <v>28</v>
      </c>
      <c r="F2" s="522"/>
      <c r="G2" s="522"/>
      <c r="H2" s="522"/>
      <c r="I2" s="522"/>
      <c r="J2" s="522"/>
      <c r="K2" s="522"/>
      <c r="L2" s="522"/>
      <c r="M2" s="522"/>
      <c r="N2" s="522"/>
      <c r="O2" s="522"/>
      <c r="P2" s="522"/>
      <c r="Q2" s="522"/>
      <c r="R2" s="522"/>
      <c r="S2" s="522"/>
      <c r="T2" s="522"/>
      <c r="U2" s="522"/>
      <c r="V2" s="522"/>
      <c r="W2" s="523"/>
    </row>
    <row r="3" spans="1:23" ht="15.75" customHeight="1" thickBot="1">
      <c r="B3" s="226" t="s">
        <v>29</v>
      </c>
      <c r="C3" s="227"/>
      <c r="D3" s="227"/>
      <c r="E3" s="524"/>
      <c r="F3" s="524"/>
      <c r="G3" s="524"/>
      <c r="H3" s="524"/>
      <c r="I3" s="524"/>
      <c r="J3" s="524"/>
      <c r="K3" s="524"/>
      <c r="L3" s="524"/>
      <c r="M3" s="524"/>
      <c r="N3" s="524"/>
      <c r="O3" s="524"/>
      <c r="P3" s="524"/>
      <c r="Q3" s="524"/>
      <c r="R3" s="524"/>
      <c r="S3" s="524"/>
      <c r="T3" s="524"/>
      <c r="U3" s="524"/>
      <c r="V3" s="524"/>
      <c r="W3" s="525"/>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26" t="s">
        <v>32</v>
      </c>
      <c r="E5" s="527"/>
      <c r="F5" s="234">
        <f>K64</f>
        <v>0</v>
      </c>
      <c r="H5" s="232"/>
      <c r="I5" s="232"/>
      <c r="J5" s="232"/>
      <c r="K5" s="232"/>
      <c r="M5" s="232"/>
      <c r="N5" s="232"/>
      <c r="O5" s="232"/>
      <c r="P5" s="232"/>
      <c r="Q5" s="232"/>
      <c r="S5" s="235"/>
      <c r="T5" s="232"/>
      <c r="U5" s="232"/>
      <c r="V5" s="232"/>
      <c r="W5" s="232"/>
    </row>
    <row r="6" spans="1:23" ht="15.75" customHeight="1" thickBot="1">
      <c r="B6" s="528" t="s">
        <v>33</v>
      </c>
      <c r="C6" s="529"/>
      <c r="D6" s="529"/>
      <c r="E6" s="529"/>
      <c r="F6" s="530"/>
      <c r="H6" s="531" t="s">
        <v>34</v>
      </c>
      <c r="I6" s="532"/>
      <c r="J6" s="532"/>
      <c r="K6" s="533"/>
      <c r="M6" s="531" t="s">
        <v>35</v>
      </c>
      <c r="N6" s="532"/>
      <c r="O6" s="532"/>
      <c r="P6" s="532"/>
      <c r="Q6" s="533"/>
      <c r="S6" s="531" t="s">
        <v>36</v>
      </c>
      <c r="T6" s="532"/>
      <c r="U6" s="532"/>
      <c r="V6" s="532"/>
      <c r="W6" s="533"/>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222"/>
      <c r="M8" s="31" t="s">
        <v>18</v>
      </c>
      <c r="N8" s="31" t="s">
        <v>37</v>
      </c>
      <c r="O8" s="31" t="s">
        <v>22</v>
      </c>
      <c r="P8" s="31" t="s">
        <v>21</v>
      </c>
      <c r="Q8" s="31" t="s">
        <v>32</v>
      </c>
      <c r="S8" s="237" t="s">
        <v>38</v>
      </c>
      <c r="T8" s="33" t="s">
        <v>37</v>
      </c>
      <c r="U8" s="33" t="s">
        <v>22</v>
      </c>
      <c r="V8" s="33" t="s">
        <v>21</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4" t="s">
        <v>70</v>
      </c>
      <c r="C21" s="435">
        <v>1.55</v>
      </c>
      <c r="D21" s="436">
        <v>1.6E-2</v>
      </c>
      <c r="E21" s="437"/>
      <c r="F21" s="438">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78" t="s">
        <v>81</v>
      </c>
      <c r="U25" s="478">
        <v>0.3</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78" t="s">
        <v>75</v>
      </c>
      <c r="U26" s="478">
        <v>0.5</v>
      </c>
      <c r="V26" s="79"/>
      <c r="W26" s="52">
        <f t="shared" si="3"/>
        <v>0</v>
      </c>
    </row>
    <row r="27" spans="1:23" ht="15.75" customHeight="1">
      <c r="A27" s="243"/>
      <c r="B27" s="54" t="s">
        <v>83</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78" t="s">
        <v>79</v>
      </c>
      <c r="U27" s="478">
        <v>0.7</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78" t="s">
        <v>85</v>
      </c>
      <c r="U28" s="478">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78" t="s">
        <v>87</v>
      </c>
      <c r="U29" s="478">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40</v>
      </c>
      <c r="N31" s="1">
        <v>2.6</v>
      </c>
      <c r="O31" s="2">
        <v>0.11</v>
      </c>
      <c r="P31" s="55"/>
      <c r="Q31" s="44">
        <f t="shared" si="2"/>
        <v>0</v>
      </c>
      <c r="R31" s="243"/>
      <c r="S31" s="87" t="s">
        <v>40</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534" t="s">
        <v>36</v>
      </c>
      <c r="T36" s="535"/>
      <c r="U36" s="536"/>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40</v>
      </c>
      <c r="N38" s="1">
        <v>3.3</v>
      </c>
      <c r="O38" s="2">
        <v>0.224</v>
      </c>
      <c r="P38" s="55"/>
      <c r="Q38" s="44">
        <f t="shared" si="2"/>
        <v>0</v>
      </c>
      <c r="S38" s="512" t="s">
        <v>105</v>
      </c>
      <c r="T38" s="513"/>
      <c r="U38" s="513"/>
      <c r="V38" s="513"/>
      <c r="W38" s="514"/>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40</v>
      </c>
      <c r="N39" s="1">
        <v>3.4</v>
      </c>
      <c r="O39" s="2">
        <v>0.25</v>
      </c>
      <c r="P39" s="55"/>
      <c r="Q39" s="44">
        <f t="shared" si="2"/>
        <v>0</v>
      </c>
      <c r="S39" s="257" t="s">
        <v>38</v>
      </c>
      <c r="T39" s="86" t="s">
        <v>37</v>
      </c>
      <c r="U39" s="86" t="s">
        <v>22</v>
      </c>
      <c r="V39" s="86" t="s">
        <v>21</v>
      </c>
      <c r="W39" s="86" t="s">
        <v>32</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40</v>
      </c>
      <c r="N40" s="1">
        <v>3.5</v>
      </c>
      <c r="O40" s="2">
        <v>0.26800000000000002</v>
      </c>
      <c r="P40" s="55"/>
      <c r="Q40" s="44">
        <f t="shared" si="2"/>
        <v>0</v>
      </c>
      <c r="S40" s="45" t="s">
        <v>40</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40</v>
      </c>
      <c r="N41" s="1">
        <v>3.6</v>
      </c>
      <c r="O41" s="2">
        <v>0.29099999999999998</v>
      </c>
      <c r="P41" s="55"/>
      <c r="Q41" s="44">
        <f t="shared" si="2"/>
        <v>0</v>
      </c>
      <c r="S41" s="45" t="s">
        <v>40</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40</v>
      </c>
      <c r="N42" s="1">
        <v>3.7</v>
      </c>
      <c r="O42" s="2">
        <v>0.3</v>
      </c>
      <c r="P42" s="55"/>
      <c r="Q42" s="44">
        <f t="shared" si="2"/>
        <v>0</v>
      </c>
      <c r="R42" s="238"/>
      <c r="S42" s="45" t="s">
        <v>40</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40</v>
      </c>
      <c r="N43" s="1">
        <v>3.8</v>
      </c>
      <c r="O43" s="2">
        <v>0.33</v>
      </c>
      <c r="P43" s="55"/>
      <c r="Q43" s="44">
        <f t="shared" si="2"/>
        <v>0</v>
      </c>
      <c r="R43" s="248"/>
      <c r="S43" s="45" t="s">
        <v>40</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40</v>
      </c>
      <c r="N44" s="1">
        <v>3.9</v>
      </c>
      <c r="O44" s="2">
        <v>0.37</v>
      </c>
      <c r="P44" s="55"/>
      <c r="Q44" s="44">
        <f t="shared" si="2"/>
        <v>0</v>
      </c>
      <c r="R44" s="243"/>
      <c r="S44" s="45" t="s">
        <v>40</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40</v>
      </c>
      <c r="N45" s="1">
        <v>4</v>
      </c>
      <c r="O45" s="2">
        <v>0.4</v>
      </c>
      <c r="P45" s="55"/>
      <c r="Q45" s="44">
        <f t="shared" si="2"/>
        <v>0</v>
      </c>
      <c r="R45" s="243"/>
      <c r="S45" s="45" t="s">
        <v>40</v>
      </c>
      <c r="T45" s="4" t="s">
        <v>125</v>
      </c>
      <c r="U45" s="68">
        <v>0.09</v>
      </c>
      <c r="V45" s="79"/>
      <c r="W45" s="52">
        <f t="shared" si="5"/>
        <v>0</v>
      </c>
    </row>
    <row r="46" spans="1:23" ht="15.75" customHeight="1" thickBot="1">
      <c r="A46" s="243"/>
      <c r="B46" s="87" t="s">
        <v>126</v>
      </c>
      <c r="C46" s="4">
        <v>3.9</v>
      </c>
      <c r="D46" s="68">
        <v>0.25189189189189187</v>
      </c>
      <c r="E46" s="55"/>
      <c r="F46" s="56">
        <f t="shared" si="4"/>
        <v>0</v>
      </c>
      <c r="H46" s="534" t="s">
        <v>127</v>
      </c>
      <c r="I46" s="536"/>
      <c r="J46" s="260">
        <f>SUM(J9:J45)</f>
        <v>0</v>
      </c>
      <c r="K46" s="83">
        <f>SUM(K9:K45)</f>
        <v>0</v>
      </c>
      <c r="L46" s="222"/>
      <c r="M46" s="45" t="s">
        <v>40</v>
      </c>
      <c r="N46" s="1">
        <v>4.0999999999999996</v>
      </c>
      <c r="O46" s="2">
        <v>0.43</v>
      </c>
      <c r="P46" s="55"/>
      <c r="Q46" s="44">
        <f t="shared" si="2"/>
        <v>0</v>
      </c>
      <c r="R46" s="248"/>
      <c r="S46" s="45" t="s">
        <v>40</v>
      </c>
      <c r="T46" s="4" t="s">
        <v>128</v>
      </c>
      <c r="U46" s="68">
        <v>0.1</v>
      </c>
      <c r="V46" s="79"/>
      <c r="W46" s="52">
        <f t="shared" si="5"/>
        <v>0</v>
      </c>
    </row>
    <row r="47" spans="1:23" ht="15.75" customHeight="1">
      <c r="A47" s="248"/>
      <c r="B47" s="54" t="s">
        <v>129</v>
      </c>
      <c r="C47" s="1">
        <v>4</v>
      </c>
      <c r="D47" s="2">
        <v>0.26421052631578945</v>
      </c>
      <c r="E47" s="55"/>
      <c r="F47" s="56">
        <f t="shared" si="4"/>
        <v>0</v>
      </c>
      <c r="L47" s="222"/>
      <c r="M47" s="45" t="s">
        <v>40</v>
      </c>
      <c r="N47" s="1">
        <v>4.2</v>
      </c>
      <c r="O47" s="2">
        <v>0.46500000000000002</v>
      </c>
      <c r="P47" s="55"/>
      <c r="Q47" s="44">
        <f t="shared" si="2"/>
        <v>0</v>
      </c>
      <c r="R47" s="243"/>
      <c r="S47" s="45" t="s">
        <v>40</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40</v>
      </c>
      <c r="N48" s="1">
        <v>4.3</v>
      </c>
      <c r="O48" s="2">
        <v>0.48</v>
      </c>
      <c r="P48" s="55"/>
      <c r="Q48" s="44">
        <f t="shared" si="2"/>
        <v>0</v>
      </c>
      <c r="R48" s="243"/>
      <c r="S48" s="45" t="s">
        <v>40</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40</v>
      </c>
      <c r="N49" s="1">
        <v>4.4000000000000004</v>
      </c>
      <c r="O49" s="2">
        <v>0.5</v>
      </c>
      <c r="P49" s="55"/>
      <c r="Q49" s="44">
        <f t="shared" si="2"/>
        <v>0</v>
      </c>
      <c r="R49" s="243"/>
      <c r="S49" s="45" t="s">
        <v>40</v>
      </c>
      <c r="T49" s="4" t="s">
        <v>136</v>
      </c>
      <c r="U49" s="68">
        <v>0.25</v>
      </c>
      <c r="V49" s="79"/>
      <c r="W49" s="52">
        <f t="shared" si="5"/>
        <v>0</v>
      </c>
    </row>
    <row r="50" spans="1:23" ht="15.75" customHeight="1">
      <c r="A50" s="243"/>
      <c r="B50" s="54" t="s">
        <v>137</v>
      </c>
      <c r="C50" s="4">
        <v>4.3</v>
      </c>
      <c r="D50" s="1">
        <v>0.33</v>
      </c>
      <c r="E50" s="55"/>
      <c r="F50" s="56">
        <f t="shared" si="4"/>
        <v>0</v>
      </c>
      <c r="L50" s="222"/>
      <c r="M50" s="45" t="s">
        <v>40</v>
      </c>
      <c r="N50" s="483">
        <v>3.7</v>
      </c>
      <c r="O50" s="484">
        <v>0.3</v>
      </c>
      <c r="P50" s="55"/>
      <c r="Q50" s="44">
        <f t="shared" si="2"/>
        <v>0</v>
      </c>
      <c r="R50" s="243"/>
      <c r="S50" s="45" t="s">
        <v>40</v>
      </c>
      <c r="T50" s="4"/>
      <c r="U50" s="68"/>
      <c r="V50" s="79"/>
      <c r="W50" s="52">
        <f t="shared" si="5"/>
        <v>0</v>
      </c>
    </row>
    <row r="51" spans="1:23" ht="15.75" customHeight="1">
      <c r="A51" s="243"/>
      <c r="B51" s="54" t="s">
        <v>138</v>
      </c>
      <c r="C51" s="1">
        <v>4.4000000000000004</v>
      </c>
      <c r="D51" s="1">
        <v>0.38</v>
      </c>
      <c r="E51" s="55"/>
      <c r="F51" s="56">
        <f t="shared" si="4"/>
        <v>0</v>
      </c>
      <c r="I51" s="263" t="s">
        <v>139</v>
      </c>
      <c r="J51" s="248"/>
      <c r="K51" s="248"/>
      <c r="L51" s="222"/>
      <c r="M51" s="45" t="s">
        <v>40</v>
      </c>
      <c r="N51" s="483">
        <v>4.4000000000000004</v>
      </c>
      <c r="O51" s="484">
        <v>0.5</v>
      </c>
      <c r="P51" s="55"/>
      <c r="Q51" s="44">
        <f t="shared" si="2"/>
        <v>0</v>
      </c>
      <c r="R51" s="243"/>
      <c r="S51" s="45" t="s">
        <v>40</v>
      </c>
      <c r="T51" s="4"/>
      <c r="U51" s="68"/>
      <c r="V51" s="79"/>
      <c r="W51" s="52">
        <f t="shared" si="5"/>
        <v>0</v>
      </c>
    </row>
    <row r="52" spans="1:23" ht="15.75" customHeight="1">
      <c r="A52" s="243"/>
      <c r="B52" s="54" t="s">
        <v>140</v>
      </c>
      <c r="C52" s="4">
        <v>4.5</v>
      </c>
      <c r="D52" s="1">
        <v>0.39</v>
      </c>
      <c r="E52" s="55"/>
      <c r="F52" s="56">
        <f t="shared" si="4"/>
        <v>0</v>
      </c>
      <c r="L52" s="222"/>
      <c r="M52" s="45" t="s">
        <v>40</v>
      </c>
      <c r="N52" s="483">
        <v>4.9000000000000004</v>
      </c>
      <c r="O52" s="484">
        <v>0.7</v>
      </c>
      <c r="P52" s="55"/>
      <c r="Q52" s="44">
        <f t="shared" si="2"/>
        <v>0</v>
      </c>
      <c r="R52" s="243"/>
      <c r="S52" s="45" t="s">
        <v>40</v>
      </c>
      <c r="T52" s="478" t="s">
        <v>141</v>
      </c>
      <c r="U52" s="479">
        <v>0.3</v>
      </c>
      <c r="V52" s="480"/>
      <c r="W52" s="481">
        <f t="shared" si="5"/>
        <v>0</v>
      </c>
    </row>
    <row r="53" spans="1:23" ht="15.75" customHeight="1">
      <c r="A53" s="243"/>
      <c r="B53" s="54" t="s">
        <v>142</v>
      </c>
      <c r="C53" s="1">
        <v>4.5999999999999996</v>
      </c>
      <c r="D53" s="1">
        <v>0.4</v>
      </c>
      <c r="E53" s="55"/>
      <c r="F53" s="56">
        <f t="shared" si="4"/>
        <v>0</v>
      </c>
      <c r="I53" s="264" t="s">
        <v>143</v>
      </c>
      <c r="J53" s="238"/>
      <c r="K53" s="238"/>
      <c r="M53" s="45" t="s">
        <v>40</v>
      </c>
      <c r="N53" s="483">
        <v>5.4</v>
      </c>
      <c r="O53" s="483">
        <v>1</v>
      </c>
      <c r="P53" s="55"/>
      <c r="Q53" s="44">
        <f t="shared" si="2"/>
        <v>0</v>
      </c>
      <c r="R53" s="243"/>
      <c r="S53" s="45" t="s">
        <v>40</v>
      </c>
      <c r="T53" s="478" t="s">
        <v>144</v>
      </c>
      <c r="U53" s="479">
        <v>0.5</v>
      </c>
      <c r="V53" s="480"/>
      <c r="W53" s="481">
        <f t="shared" si="5"/>
        <v>0</v>
      </c>
    </row>
    <row r="54" spans="1:23" ht="15.75" customHeight="1">
      <c r="A54" s="243"/>
      <c r="B54" s="45" t="s">
        <v>145</v>
      </c>
      <c r="C54" s="1">
        <v>4.7</v>
      </c>
      <c r="D54" s="1">
        <v>0.46</v>
      </c>
      <c r="E54" s="55"/>
      <c r="F54" s="56">
        <f t="shared" si="4"/>
        <v>0</v>
      </c>
      <c r="M54" s="45" t="s">
        <v>40</v>
      </c>
      <c r="N54" s="483">
        <v>6.4</v>
      </c>
      <c r="O54" s="483">
        <v>1.5</v>
      </c>
      <c r="P54" s="55"/>
      <c r="Q54" s="44">
        <f t="shared" si="2"/>
        <v>0</v>
      </c>
      <c r="R54" s="243"/>
      <c r="S54" s="45" t="s">
        <v>40</v>
      </c>
      <c r="T54" s="478" t="s">
        <v>146</v>
      </c>
      <c r="U54" s="479">
        <v>0.7</v>
      </c>
      <c r="V54" s="480"/>
      <c r="W54" s="481">
        <f t="shared" si="5"/>
        <v>0</v>
      </c>
    </row>
    <row r="55" spans="1:23" ht="15.75" customHeight="1" thickBot="1">
      <c r="A55" s="248"/>
      <c r="B55" s="45" t="s">
        <v>145</v>
      </c>
      <c r="C55" s="4">
        <v>4.8</v>
      </c>
      <c r="D55" s="4">
        <v>0.49</v>
      </c>
      <c r="E55" s="55"/>
      <c r="F55" s="56">
        <f t="shared" si="4"/>
        <v>0</v>
      </c>
      <c r="M55" s="45" t="s">
        <v>40</v>
      </c>
      <c r="N55" s="1">
        <v>8</v>
      </c>
      <c r="O55" s="1">
        <v>2.9</v>
      </c>
      <c r="P55" s="55"/>
      <c r="Q55" s="44">
        <f t="shared" si="2"/>
        <v>0</v>
      </c>
      <c r="R55" s="243"/>
      <c r="S55" s="45" t="s">
        <v>40</v>
      </c>
      <c r="T55" s="478" t="s">
        <v>147</v>
      </c>
      <c r="U55" s="479">
        <v>1</v>
      </c>
      <c r="V55" s="480"/>
      <c r="W55" s="481">
        <f t="shared" si="5"/>
        <v>0</v>
      </c>
    </row>
    <row r="56" spans="1:23" ht="15.75" customHeight="1" thickBot="1">
      <c r="A56" s="243"/>
      <c r="B56" s="45" t="s">
        <v>145</v>
      </c>
      <c r="C56" s="1">
        <v>4.9000000000000004</v>
      </c>
      <c r="D56" s="1">
        <v>0.5</v>
      </c>
      <c r="E56" s="55"/>
      <c r="F56" s="56">
        <f t="shared" si="4"/>
        <v>0</v>
      </c>
      <c r="H56" s="537" t="s">
        <v>148</v>
      </c>
      <c r="I56" s="537"/>
      <c r="J56" s="257" t="s">
        <v>21</v>
      </c>
      <c r="K56" s="257" t="s">
        <v>32</v>
      </c>
      <c r="M56" s="45" t="s">
        <v>40</v>
      </c>
      <c r="N56" s="1">
        <v>9</v>
      </c>
      <c r="O56" s="1">
        <v>4.4000000000000004</v>
      </c>
      <c r="P56" s="55"/>
      <c r="Q56" s="44">
        <f t="shared" si="2"/>
        <v>0</v>
      </c>
      <c r="R56" s="243"/>
      <c r="S56" s="45" t="s">
        <v>40</v>
      </c>
      <c r="T56" s="478" t="s">
        <v>149</v>
      </c>
      <c r="U56" s="479">
        <v>1.5</v>
      </c>
      <c r="V56" s="480"/>
      <c r="W56" s="481">
        <f t="shared" si="5"/>
        <v>0</v>
      </c>
    </row>
    <row r="57" spans="1:23" ht="15.75" customHeight="1">
      <c r="A57" s="243"/>
      <c r="B57" s="45" t="s">
        <v>145</v>
      </c>
      <c r="C57" s="4">
        <v>5</v>
      </c>
      <c r="D57" s="4">
        <v>0.52</v>
      </c>
      <c r="E57" s="55"/>
      <c r="F57" s="56">
        <f t="shared" si="4"/>
        <v>0</v>
      </c>
      <c r="H57" s="538" t="s">
        <v>33</v>
      </c>
      <c r="I57" s="539"/>
      <c r="J57" s="265">
        <f>E103</f>
        <v>0</v>
      </c>
      <c r="K57" s="265">
        <f>F103</f>
        <v>0</v>
      </c>
      <c r="M57" s="45" t="s">
        <v>40</v>
      </c>
      <c r="N57" s="1">
        <v>10</v>
      </c>
      <c r="O57" s="1">
        <v>6</v>
      </c>
      <c r="P57" s="55"/>
      <c r="Q57" s="44">
        <f t="shared" si="2"/>
        <v>0</v>
      </c>
      <c r="S57" s="45" t="s">
        <v>40</v>
      </c>
      <c r="T57" s="4" t="s">
        <v>150</v>
      </c>
      <c r="U57" s="68">
        <v>3</v>
      </c>
      <c r="V57" s="79"/>
      <c r="W57" s="52">
        <f t="shared" si="5"/>
        <v>0</v>
      </c>
    </row>
    <row r="58" spans="1:23" ht="15.75" customHeight="1" thickBot="1">
      <c r="A58" s="238"/>
      <c r="B58" s="45" t="s">
        <v>145</v>
      </c>
      <c r="C58" s="4">
        <v>5.0999999999999996</v>
      </c>
      <c r="D58" s="1">
        <v>0.56000000000000005</v>
      </c>
      <c r="E58" s="55"/>
      <c r="F58" s="56">
        <f t="shared" si="4"/>
        <v>0</v>
      </c>
      <c r="H58" s="510" t="s">
        <v>127</v>
      </c>
      <c r="I58" s="511"/>
      <c r="J58" s="266">
        <f>J46</f>
        <v>0</v>
      </c>
      <c r="K58" s="121">
        <f>K46</f>
        <v>0</v>
      </c>
      <c r="M58" s="45" t="s">
        <v>40</v>
      </c>
      <c r="N58" s="1">
        <v>11</v>
      </c>
      <c r="O58" s="1">
        <v>8</v>
      </c>
      <c r="P58" s="55"/>
      <c r="Q58" s="44">
        <f t="shared" si="2"/>
        <v>0</v>
      </c>
      <c r="S58" s="45" t="s">
        <v>40</v>
      </c>
      <c r="T58" s="80" t="s">
        <v>151</v>
      </c>
      <c r="U58" s="103">
        <v>4</v>
      </c>
      <c r="V58" s="253"/>
      <c r="W58" s="52">
        <f t="shared" si="5"/>
        <v>0</v>
      </c>
    </row>
    <row r="59" spans="1:23" ht="15.75" customHeight="1" thickBot="1">
      <c r="A59" s="243"/>
      <c r="B59" s="45" t="s">
        <v>145</v>
      </c>
      <c r="C59" s="4">
        <v>5.2</v>
      </c>
      <c r="D59" s="1">
        <v>0.61</v>
      </c>
      <c r="E59" s="55"/>
      <c r="F59" s="56">
        <f t="shared" si="4"/>
        <v>0</v>
      </c>
      <c r="H59" s="510" t="s">
        <v>35</v>
      </c>
      <c r="I59" s="511"/>
      <c r="J59" s="266">
        <f>P64</f>
        <v>0</v>
      </c>
      <c r="K59" s="121">
        <f>Q64</f>
        <v>0</v>
      </c>
      <c r="M59" s="45" t="s">
        <v>40</v>
      </c>
      <c r="N59" s="1">
        <v>12</v>
      </c>
      <c r="O59" s="1">
        <v>10.35</v>
      </c>
      <c r="P59" s="55"/>
      <c r="Q59" s="44">
        <f t="shared" si="2"/>
        <v>0</v>
      </c>
      <c r="S59" s="509" t="s">
        <v>105</v>
      </c>
      <c r="T59" s="509"/>
      <c r="U59" s="509"/>
      <c r="V59" s="267">
        <f>SUM(V40:V58)</f>
        <v>0</v>
      </c>
      <c r="W59" s="83">
        <f>SUM(W40:W58)</f>
        <v>0</v>
      </c>
    </row>
    <row r="60" spans="1:23" ht="15.75" customHeight="1" thickBot="1">
      <c r="A60" s="243"/>
      <c r="B60" s="45" t="s">
        <v>145</v>
      </c>
      <c r="C60" s="4">
        <v>5.3</v>
      </c>
      <c r="D60" s="1">
        <v>0.63</v>
      </c>
      <c r="E60" s="55"/>
      <c r="F60" s="56">
        <f t="shared" si="4"/>
        <v>0</v>
      </c>
      <c r="H60" s="510" t="s">
        <v>36</v>
      </c>
      <c r="I60" s="511"/>
      <c r="J60" s="266">
        <f>V36</f>
        <v>0</v>
      </c>
      <c r="K60" s="121">
        <f>W36</f>
        <v>0</v>
      </c>
      <c r="M60" s="45" t="s">
        <v>40</v>
      </c>
      <c r="N60" s="1">
        <v>13</v>
      </c>
      <c r="O60" s="1">
        <v>13.2</v>
      </c>
      <c r="P60" s="55"/>
      <c r="Q60" s="44">
        <f t="shared" si="2"/>
        <v>0</v>
      </c>
    </row>
    <row r="61" spans="1:23" ht="15.75" customHeight="1" thickBot="1">
      <c r="A61" s="248"/>
      <c r="B61" s="45" t="s">
        <v>145</v>
      </c>
      <c r="C61" s="1">
        <v>5.4</v>
      </c>
      <c r="D61" s="1">
        <v>0.65</v>
      </c>
      <c r="E61" s="55"/>
      <c r="F61" s="56">
        <f t="shared" si="4"/>
        <v>0</v>
      </c>
      <c r="H61" s="510" t="s">
        <v>152</v>
      </c>
      <c r="I61" s="511"/>
      <c r="J61" s="79">
        <f>V59</f>
        <v>0</v>
      </c>
      <c r="K61" s="121">
        <f>W59</f>
        <v>0</v>
      </c>
      <c r="M61" s="45" t="s">
        <v>40</v>
      </c>
      <c r="N61" s="1">
        <v>14</v>
      </c>
      <c r="O61" s="1">
        <v>16.5</v>
      </c>
      <c r="P61" s="55"/>
      <c r="Q61" s="44">
        <f t="shared" si="2"/>
        <v>0</v>
      </c>
      <c r="T61" s="512" t="s">
        <v>153</v>
      </c>
      <c r="U61" s="513"/>
      <c r="V61" s="513"/>
      <c r="W61" s="514"/>
    </row>
    <row r="62" spans="1:23" ht="15.75" customHeight="1" thickBot="1">
      <c r="A62" s="248"/>
      <c r="B62" s="45" t="s">
        <v>145</v>
      </c>
      <c r="C62" s="1">
        <v>5.5</v>
      </c>
      <c r="D62" s="1">
        <v>0.67</v>
      </c>
      <c r="E62" s="55"/>
      <c r="F62" s="56">
        <f t="shared" si="4"/>
        <v>0</v>
      </c>
      <c r="H62" s="510" t="s">
        <v>153</v>
      </c>
      <c r="I62" s="511"/>
      <c r="J62" s="266">
        <f>V83</f>
        <v>0</v>
      </c>
      <c r="K62" s="121">
        <f>W83</f>
        <v>0</v>
      </c>
      <c r="M62" s="45" t="s">
        <v>40</v>
      </c>
      <c r="N62" s="1">
        <v>15</v>
      </c>
      <c r="O62" s="1">
        <v>20.25</v>
      </c>
      <c r="P62" s="55"/>
      <c r="Q62" s="44">
        <f t="shared" si="2"/>
        <v>0</v>
      </c>
      <c r="T62" s="104"/>
      <c r="U62" s="104"/>
      <c r="V62" s="104"/>
      <c r="W62" s="104"/>
    </row>
    <row r="63" spans="1:23" ht="15.75" customHeight="1" thickBot="1">
      <c r="A63" s="238"/>
      <c r="B63" s="45" t="s">
        <v>145</v>
      </c>
      <c r="C63" s="1">
        <v>5.6</v>
      </c>
      <c r="D63" s="1">
        <v>0.7</v>
      </c>
      <c r="E63" s="55"/>
      <c r="F63" s="56">
        <f t="shared" si="4"/>
        <v>0</v>
      </c>
      <c r="H63" s="515" t="s">
        <v>154</v>
      </c>
      <c r="I63" s="516"/>
      <c r="J63" s="268">
        <f>P84</f>
        <v>0</v>
      </c>
      <c r="K63" s="269">
        <f>Q84</f>
        <v>0</v>
      </c>
      <c r="M63" s="45" t="s">
        <v>40</v>
      </c>
      <c r="N63" s="107">
        <v>16</v>
      </c>
      <c r="O63" s="107">
        <v>24.6</v>
      </c>
      <c r="P63" s="270"/>
      <c r="Q63" s="44">
        <f>P63*O63</f>
        <v>0</v>
      </c>
      <c r="T63" s="86" t="s">
        <v>37</v>
      </c>
      <c r="U63" s="86" t="s">
        <v>22</v>
      </c>
      <c r="V63" s="86" t="s">
        <v>21</v>
      </c>
      <c r="W63" s="86" t="s">
        <v>32</v>
      </c>
    </row>
    <row r="64" spans="1:23" ht="15.75" customHeight="1" thickBot="1">
      <c r="B64" s="45" t="s">
        <v>145</v>
      </c>
      <c r="C64" s="1">
        <v>5.8</v>
      </c>
      <c r="D64" s="1">
        <v>0.8</v>
      </c>
      <c r="E64" s="55"/>
      <c r="F64" s="56">
        <f t="shared" si="4"/>
        <v>0</v>
      </c>
      <c r="H64" s="517" t="s">
        <v>32</v>
      </c>
      <c r="I64" s="517"/>
      <c r="J64" s="271">
        <f>SUM(J57:J63)</f>
        <v>0</v>
      </c>
      <c r="K64" s="272">
        <f>SUM(K57:K63)</f>
        <v>0</v>
      </c>
      <c r="M64" s="518" t="s">
        <v>35</v>
      </c>
      <c r="N64" s="518"/>
      <c r="O64" s="518"/>
      <c r="P64" s="267">
        <f>SUM(P9:P63)</f>
        <v>0</v>
      </c>
      <c r="Q64" s="111">
        <f>SUM(Q9:Q63)</f>
        <v>0</v>
      </c>
      <c r="T64" s="112" t="s">
        <v>155</v>
      </c>
      <c r="U64" s="113">
        <v>0.15</v>
      </c>
      <c r="V64" s="258"/>
      <c r="W64" s="52">
        <f>V64*U64</f>
        <v>0</v>
      </c>
    </row>
    <row r="65" spans="2:23" ht="15.75" customHeight="1" thickBot="1">
      <c r="B65" s="45" t="s">
        <v>145</v>
      </c>
      <c r="C65" s="1">
        <v>6</v>
      </c>
      <c r="D65" s="1">
        <v>0.9</v>
      </c>
      <c r="E65" s="55"/>
      <c r="F65" s="56">
        <f t="shared" si="4"/>
        <v>0</v>
      </c>
      <c r="T65" s="474" t="s">
        <v>156</v>
      </c>
      <c r="U65" s="475">
        <v>0.3</v>
      </c>
      <c r="V65" s="258"/>
      <c r="W65" s="52">
        <f>V65*U65</f>
        <v>0</v>
      </c>
    </row>
    <row r="66" spans="2:23" ht="15.75" customHeight="1" thickBot="1">
      <c r="B66" s="45" t="s">
        <v>145</v>
      </c>
      <c r="C66" s="1">
        <v>6.2</v>
      </c>
      <c r="D66" s="1">
        <v>1</v>
      </c>
      <c r="E66" s="55"/>
      <c r="F66" s="56">
        <f t="shared" si="4"/>
        <v>0</v>
      </c>
      <c r="M66" s="273"/>
      <c r="N66" s="519" t="s">
        <v>154</v>
      </c>
      <c r="O66" s="520"/>
      <c r="P66" s="520"/>
      <c r="Q66" s="521"/>
      <c r="R66" s="273"/>
      <c r="T66" s="476" t="s">
        <v>157</v>
      </c>
      <c r="U66" s="477">
        <v>0.5</v>
      </c>
      <c r="V66" s="79"/>
      <c r="W66" s="52">
        <f t="shared" ref="W66:W81" si="6">V66*U66</f>
        <v>0</v>
      </c>
    </row>
    <row r="67" spans="2:23" ht="15.75" customHeight="1" thickBot="1">
      <c r="B67" s="45" t="s">
        <v>145</v>
      </c>
      <c r="C67" s="1">
        <v>6.4</v>
      </c>
      <c r="D67" s="1">
        <v>1.05</v>
      </c>
      <c r="E67" s="55"/>
      <c r="F67" s="56">
        <f t="shared" si="4"/>
        <v>0</v>
      </c>
      <c r="M67" s="273"/>
      <c r="N67" s="29"/>
      <c r="O67" s="29"/>
      <c r="P67" s="29"/>
      <c r="Q67" s="29"/>
      <c r="R67" s="273"/>
      <c r="T67" s="476" t="s">
        <v>158</v>
      </c>
      <c r="U67" s="477">
        <v>0.7</v>
      </c>
      <c r="V67" s="79"/>
      <c r="W67" s="52">
        <f t="shared" si="6"/>
        <v>0</v>
      </c>
    </row>
    <row r="68" spans="2:23" ht="15.75" customHeight="1" thickBot="1">
      <c r="B68" s="45" t="s">
        <v>145</v>
      </c>
      <c r="C68" s="1">
        <v>6.5</v>
      </c>
      <c r="D68" s="1">
        <v>1.1000000000000001</v>
      </c>
      <c r="E68" s="55"/>
      <c r="F68" s="56">
        <f t="shared" si="4"/>
        <v>0</v>
      </c>
      <c r="M68" s="273"/>
      <c r="N68" s="86" t="s">
        <v>37</v>
      </c>
      <c r="O68" s="86" t="s">
        <v>22</v>
      </c>
      <c r="P68" s="86" t="s">
        <v>21</v>
      </c>
      <c r="Q68" s="86" t="s">
        <v>32</v>
      </c>
      <c r="R68" s="273"/>
      <c r="T68" s="476" t="s">
        <v>159</v>
      </c>
      <c r="U68" s="477">
        <v>1</v>
      </c>
      <c r="V68" s="79"/>
      <c r="W68" s="52">
        <f t="shared" si="6"/>
        <v>0</v>
      </c>
    </row>
    <row r="69" spans="2:23" ht="15.75" customHeight="1">
      <c r="B69" s="45" t="s">
        <v>145</v>
      </c>
      <c r="C69" s="1">
        <v>6.6</v>
      </c>
      <c r="D69" s="1">
        <v>1.1299999999999999</v>
      </c>
      <c r="E69" s="55"/>
      <c r="F69" s="56">
        <f t="shared" si="4"/>
        <v>0</v>
      </c>
      <c r="M69" s="273"/>
      <c r="N69" s="118" t="s">
        <v>160</v>
      </c>
      <c r="O69" s="119">
        <v>0.25</v>
      </c>
      <c r="P69" s="258"/>
      <c r="Q69" s="120">
        <f>P69*O69</f>
        <v>0</v>
      </c>
      <c r="R69" s="273"/>
      <c r="T69" s="476" t="s">
        <v>161</v>
      </c>
      <c r="U69" s="477">
        <v>1.5</v>
      </c>
      <c r="V69" s="79"/>
      <c r="W69" s="52">
        <f t="shared" si="6"/>
        <v>0</v>
      </c>
    </row>
    <row r="70" spans="2:23" ht="15.75" customHeight="1">
      <c r="B70" s="45" t="s">
        <v>145</v>
      </c>
      <c r="C70" s="1">
        <v>6.8</v>
      </c>
      <c r="D70" s="1">
        <v>1.17</v>
      </c>
      <c r="E70" s="55"/>
      <c r="F70" s="56">
        <f t="shared" si="4"/>
        <v>0</v>
      </c>
      <c r="M70" s="273"/>
      <c r="N70" s="482" t="s">
        <v>162</v>
      </c>
      <c r="O70" s="478">
        <v>0.3</v>
      </c>
      <c r="P70" s="480"/>
      <c r="Q70" s="121">
        <f t="shared" ref="Q70:Q83" si="7">P70*O70</f>
        <v>0</v>
      </c>
      <c r="R70" s="273"/>
      <c r="T70" s="67" t="s">
        <v>163</v>
      </c>
      <c r="U70" s="4">
        <v>3</v>
      </c>
      <c r="V70" s="79"/>
      <c r="W70" s="52">
        <f t="shared" si="6"/>
        <v>0</v>
      </c>
    </row>
    <row r="71" spans="2:23" ht="15.75" customHeight="1">
      <c r="B71" s="45" t="s">
        <v>145</v>
      </c>
      <c r="C71" s="1">
        <v>7</v>
      </c>
      <c r="D71" s="1">
        <v>1.25</v>
      </c>
      <c r="E71" s="55"/>
      <c r="F71" s="56">
        <f t="shared" si="4"/>
        <v>0</v>
      </c>
      <c r="M71" s="273"/>
      <c r="N71" s="482" t="s">
        <v>164</v>
      </c>
      <c r="O71" s="478">
        <v>0.5</v>
      </c>
      <c r="P71" s="480"/>
      <c r="Q71" s="121">
        <f t="shared" si="7"/>
        <v>0</v>
      </c>
      <c r="R71" s="273"/>
      <c r="T71" s="67" t="s">
        <v>165</v>
      </c>
      <c r="U71" s="4">
        <v>4</v>
      </c>
      <c r="V71" s="79"/>
      <c r="W71" s="52">
        <f t="shared" si="6"/>
        <v>0</v>
      </c>
    </row>
    <row r="72" spans="2:23" ht="15.75" customHeight="1">
      <c r="B72" s="45" t="s">
        <v>145</v>
      </c>
      <c r="C72" s="1">
        <v>7.2</v>
      </c>
      <c r="D72" s="1">
        <v>1.33</v>
      </c>
      <c r="E72" s="55"/>
      <c r="F72" s="56">
        <f t="shared" si="4"/>
        <v>0</v>
      </c>
      <c r="M72" s="273"/>
      <c r="N72" s="482" t="s">
        <v>166</v>
      </c>
      <c r="O72" s="478">
        <v>0.7</v>
      </c>
      <c r="P72" s="480"/>
      <c r="Q72" s="121">
        <f t="shared" si="7"/>
        <v>0</v>
      </c>
      <c r="R72" s="273"/>
      <c r="T72" s="67" t="s">
        <v>167</v>
      </c>
      <c r="U72" s="4">
        <v>5</v>
      </c>
      <c r="V72" s="79"/>
      <c r="W72" s="52">
        <f t="shared" si="6"/>
        <v>0</v>
      </c>
    </row>
    <row r="73" spans="2:23" ht="15.75" customHeight="1">
      <c r="B73" s="45" t="s">
        <v>145</v>
      </c>
      <c r="C73" s="1">
        <v>7.4</v>
      </c>
      <c r="D73" s="1">
        <v>1.5</v>
      </c>
      <c r="E73" s="55"/>
      <c r="F73" s="56">
        <f t="shared" si="4"/>
        <v>0</v>
      </c>
      <c r="M73" s="273"/>
      <c r="N73" s="482" t="s">
        <v>25</v>
      </c>
      <c r="O73" s="478">
        <v>1</v>
      </c>
      <c r="P73" s="480"/>
      <c r="Q73" s="121">
        <f t="shared" si="7"/>
        <v>0</v>
      </c>
      <c r="R73" s="273"/>
      <c r="T73" s="67" t="s">
        <v>168</v>
      </c>
      <c r="U73" s="4">
        <v>6</v>
      </c>
      <c r="V73" s="79"/>
      <c r="W73" s="52">
        <f t="shared" si="6"/>
        <v>0</v>
      </c>
    </row>
    <row r="74" spans="2:23" ht="15.75" customHeight="1">
      <c r="B74" s="45" t="s">
        <v>145</v>
      </c>
      <c r="C74" s="1">
        <v>7.6</v>
      </c>
      <c r="D74" s="1">
        <v>1.6</v>
      </c>
      <c r="E74" s="55"/>
      <c r="F74" s="123">
        <f t="shared" si="4"/>
        <v>0</v>
      </c>
      <c r="M74" s="273"/>
      <c r="N74" s="482" t="s">
        <v>169</v>
      </c>
      <c r="O74" s="478">
        <v>1.5</v>
      </c>
      <c r="P74" s="480"/>
      <c r="Q74" s="121">
        <f t="shared" si="7"/>
        <v>0</v>
      </c>
      <c r="R74" s="273"/>
      <c r="T74" s="67" t="s">
        <v>170</v>
      </c>
      <c r="U74" s="4">
        <v>8</v>
      </c>
      <c r="V74" s="79"/>
      <c r="W74" s="52">
        <f t="shared" si="6"/>
        <v>0</v>
      </c>
    </row>
    <row r="75" spans="2:23" ht="15.75" customHeight="1">
      <c r="B75" s="45" t="s">
        <v>145</v>
      </c>
      <c r="C75" s="1">
        <v>7.8</v>
      </c>
      <c r="D75" s="1">
        <v>1.75</v>
      </c>
      <c r="E75" s="55"/>
      <c r="F75" s="123">
        <f t="shared" si="4"/>
        <v>0</v>
      </c>
      <c r="M75" s="273"/>
      <c r="N75" s="67" t="s">
        <v>163</v>
      </c>
      <c r="O75" s="4">
        <v>3</v>
      </c>
      <c r="P75" s="79"/>
      <c r="Q75" s="121">
        <f t="shared" si="7"/>
        <v>0</v>
      </c>
      <c r="R75" s="273"/>
      <c r="T75" s="67" t="s">
        <v>171</v>
      </c>
      <c r="U75" s="4">
        <v>10.5</v>
      </c>
      <c r="V75" s="79"/>
      <c r="W75" s="52">
        <f t="shared" si="6"/>
        <v>0</v>
      </c>
    </row>
    <row r="76" spans="2:23" ht="15.75" customHeight="1">
      <c r="B76" s="45" t="s">
        <v>145</v>
      </c>
      <c r="C76" s="1">
        <v>8</v>
      </c>
      <c r="D76" s="1">
        <v>1.9</v>
      </c>
      <c r="E76" s="55"/>
      <c r="F76" s="123">
        <f t="shared" si="4"/>
        <v>0</v>
      </c>
      <c r="M76" s="273"/>
      <c r="N76" s="67" t="s">
        <v>165</v>
      </c>
      <c r="O76" s="4">
        <v>4</v>
      </c>
      <c r="P76" s="79"/>
      <c r="Q76" s="121">
        <f t="shared" si="7"/>
        <v>0</v>
      </c>
      <c r="R76" s="273"/>
      <c r="T76" s="67" t="s">
        <v>172</v>
      </c>
      <c r="U76" s="4">
        <v>14.2</v>
      </c>
      <c r="V76" s="79"/>
      <c r="W76" s="52">
        <f t="shared" si="6"/>
        <v>0</v>
      </c>
    </row>
    <row r="77" spans="2:23" ht="15.75" customHeight="1">
      <c r="B77" s="45" t="s">
        <v>145</v>
      </c>
      <c r="C77" s="1">
        <v>8.1999999999999993</v>
      </c>
      <c r="D77" s="1">
        <v>2</v>
      </c>
      <c r="E77" s="55"/>
      <c r="F77" s="123">
        <f t="shared" si="4"/>
        <v>0</v>
      </c>
      <c r="M77" s="273"/>
      <c r="N77" s="67" t="s">
        <v>167</v>
      </c>
      <c r="O77" s="4">
        <v>5</v>
      </c>
      <c r="P77" s="79"/>
      <c r="Q77" s="121">
        <f t="shared" si="7"/>
        <v>0</v>
      </c>
      <c r="R77" s="273"/>
      <c r="T77" s="67" t="s">
        <v>173</v>
      </c>
      <c r="U77" s="4">
        <v>20.3</v>
      </c>
      <c r="V77" s="79"/>
      <c r="W77" s="52">
        <f t="shared" si="6"/>
        <v>0</v>
      </c>
    </row>
    <row r="78" spans="2:23" ht="15.75" customHeight="1">
      <c r="B78" s="45" t="s">
        <v>145</v>
      </c>
      <c r="C78" s="1">
        <v>8.4</v>
      </c>
      <c r="D78" s="1">
        <v>2.15</v>
      </c>
      <c r="E78" s="55"/>
      <c r="F78" s="123">
        <f t="shared" si="4"/>
        <v>0</v>
      </c>
      <c r="M78" s="273"/>
      <c r="N78" s="67" t="s">
        <v>168</v>
      </c>
      <c r="O78" s="4">
        <v>6</v>
      </c>
      <c r="P78" s="79"/>
      <c r="Q78" s="121">
        <f t="shared" si="7"/>
        <v>0</v>
      </c>
      <c r="R78" s="273"/>
      <c r="T78" s="67" t="s">
        <v>174</v>
      </c>
      <c r="U78" s="4">
        <v>23.5</v>
      </c>
      <c r="V78" s="79"/>
      <c r="W78" s="52">
        <f t="shared" si="6"/>
        <v>0</v>
      </c>
    </row>
    <row r="79" spans="2:23" ht="15.75" customHeight="1">
      <c r="B79" s="45" t="s">
        <v>145</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145</v>
      </c>
      <c r="C80" s="1">
        <v>8.8000000000000007</v>
      </c>
      <c r="D80" s="1">
        <v>2.5</v>
      </c>
      <c r="E80" s="55"/>
      <c r="F80" s="123">
        <f t="shared" si="4"/>
        <v>0</v>
      </c>
      <c r="M80" s="273"/>
      <c r="N80" s="67" t="s">
        <v>99</v>
      </c>
      <c r="O80" s="4">
        <v>10.5</v>
      </c>
      <c r="P80" s="79"/>
      <c r="Q80" s="121">
        <f t="shared" si="7"/>
        <v>0</v>
      </c>
      <c r="R80" s="273"/>
      <c r="T80" s="67" t="s">
        <v>176</v>
      </c>
      <c r="U80" s="4">
        <v>43</v>
      </c>
      <c r="V80" s="79"/>
      <c r="W80" s="52">
        <f t="shared" si="6"/>
        <v>0</v>
      </c>
    </row>
    <row r="81" spans="2:23" ht="15.75" customHeight="1">
      <c r="B81" s="45" t="s">
        <v>145</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145</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145</v>
      </c>
      <c r="C83" s="1">
        <v>9.6</v>
      </c>
      <c r="D83" s="1">
        <v>3.15</v>
      </c>
      <c r="E83" s="55"/>
      <c r="F83" s="123">
        <f t="shared" si="4"/>
        <v>0</v>
      </c>
      <c r="M83" s="273"/>
      <c r="N83" s="67" t="s">
        <v>176</v>
      </c>
      <c r="O83" s="127">
        <v>52.2</v>
      </c>
      <c r="P83" s="253"/>
      <c r="Q83" s="128">
        <f t="shared" si="7"/>
        <v>0</v>
      </c>
      <c r="R83" s="273"/>
      <c r="T83" s="509" t="s">
        <v>153</v>
      </c>
      <c r="U83" s="509"/>
      <c r="V83" s="260">
        <f>SUM(V64:V82)</f>
        <v>0</v>
      </c>
      <c r="W83" s="125">
        <f>SUM(W64:W82)</f>
        <v>0</v>
      </c>
    </row>
    <row r="84" spans="2:23" ht="15.75" customHeight="1" thickBot="1">
      <c r="B84" s="45" t="s">
        <v>145</v>
      </c>
      <c r="C84" s="1">
        <v>9.8000000000000007</v>
      </c>
      <c r="D84" s="1">
        <v>3.35</v>
      </c>
      <c r="E84" s="55"/>
      <c r="F84" s="123">
        <f t="shared" si="4"/>
        <v>0</v>
      </c>
      <c r="M84" s="273"/>
      <c r="N84" s="509" t="s">
        <v>154</v>
      </c>
      <c r="O84" s="509"/>
      <c r="P84" s="260">
        <f>SUM(P69:P83)</f>
        <v>0</v>
      </c>
      <c r="Q84" s="83">
        <f>SUM(Q69:Q83)</f>
        <v>0</v>
      </c>
      <c r="R84" s="273"/>
    </row>
    <row r="85" spans="2:23" ht="15.75" customHeight="1">
      <c r="B85" s="45" t="s">
        <v>145</v>
      </c>
      <c r="C85" s="1">
        <v>10</v>
      </c>
      <c r="D85" s="1">
        <v>3.5</v>
      </c>
      <c r="E85" s="55"/>
      <c r="F85" s="123">
        <f t="shared" si="4"/>
        <v>0</v>
      </c>
      <c r="M85" s="273"/>
      <c r="N85" s="273"/>
      <c r="O85" s="273"/>
      <c r="P85" s="273"/>
      <c r="Q85" s="273"/>
      <c r="R85" s="273"/>
    </row>
    <row r="86" spans="2:23" ht="15.75" customHeight="1">
      <c r="B86" s="45" t="s">
        <v>145</v>
      </c>
      <c r="C86" s="1">
        <v>10.199999999999999</v>
      </c>
      <c r="D86" s="1">
        <v>3.75</v>
      </c>
      <c r="E86" s="55"/>
      <c r="F86" s="123">
        <f>E86*D86</f>
        <v>0</v>
      </c>
      <c r="M86" s="273"/>
      <c r="N86" s="273"/>
      <c r="O86" s="273"/>
      <c r="P86" s="273"/>
      <c r="Q86" s="273"/>
      <c r="R86" s="273"/>
    </row>
    <row r="87" spans="2:23" ht="15.75" customHeight="1">
      <c r="B87" s="45" t="s">
        <v>145</v>
      </c>
      <c r="C87" s="1">
        <v>10.4</v>
      </c>
      <c r="D87" s="1">
        <v>4</v>
      </c>
      <c r="E87" s="55"/>
      <c r="F87" s="123">
        <f t="shared" ref="F87:F101" si="8">E87*D87</f>
        <v>0</v>
      </c>
      <c r="M87" s="273"/>
      <c r="N87" s="273"/>
      <c r="O87" s="273"/>
      <c r="P87" s="273"/>
      <c r="Q87" s="273"/>
      <c r="R87" s="273"/>
    </row>
    <row r="88" spans="2:23" ht="15.75" customHeight="1">
      <c r="B88" s="45" t="s">
        <v>145</v>
      </c>
      <c r="C88" s="1">
        <v>10.6</v>
      </c>
      <c r="D88" s="1">
        <v>4.25</v>
      </c>
      <c r="E88" s="55"/>
      <c r="F88" s="123">
        <f t="shared" si="8"/>
        <v>0</v>
      </c>
      <c r="M88" s="273"/>
      <c r="N88" s="273"/>
      <c r="O88" s="273"/>
      <c r="P88" s="273"/>
      <c r="Q88" s="273"/>
      <c r="R88" s="273"/>
    </row>
    <row r="89" spans="2:23">
      <c r="B89" s="45" t="s">
        <v>145</v>
      </c>
      <c r="C89" s="1">
        <v>10.8</v>
      </c>
      <c r="D89" s="1">
        <v>4.5</v>
      </c>
      <c r="E89" s="55"/>
      <c r="F89" s="123">
        <f t="shared" si="8"/>
        <v>0</v>
      </c>
      <c r="M89" s="273"/>
      <c r="N89" s="273"/>
      <c r="O89" s="273"/>
      <c r="P89" s="273"/>
      <c r="Q89" s="273"/>
      <c r="R89" s="273"/>
    </row>
    <row r="90" spans="2:23">
      <c r="B90" s="45" t="s">
        <v>145</v>
      </c>
      <c r="C90" s="1">
        <v>11</v>
      </c>
      <c r="D90" s="1">
        <v>4.75</v>
      </c>
      <c r="E90" s="55"/>
      <c r="F90" s="123">
        <f t="shared" si="8"/>
        <v>0</v>
      </c>
      <c r="M90" s="273"/>
      <c r="N90" s="273"/>
      <c r="O90" s="273"/>
      <c r="P90" s="273"/>
      <c r="Q90" s="273"/>
      <c r="R90" s="273"/>
    </row>
    <row r="91" spans="2:23">
      <c r="B91" s="45" t="s">
        <v>145</v>
      </c>
      <c r="C91" s="1">
        <v>11.2</v>
      </c>
      <c r="D91" s="1">
        <v>5</v>
      </c>
      <c r="E91" s="55"/>
      <c r="F91" s="123">
        <f t="shared" si="8"/>
        <v>0</v>
      </c>
      <c r="M91" s="273"/>
      <c r="N91" s="273"/>
      <c r="O91" s="273"/>
      <c r="P91" s="273"/>
      <c r="Q91" s="273"/>
      <c r="R91" s="273"/>
    </row>
    <row r="92" spans="2:23">
      <c r="B92" s="45" t="s">
        <v>145</v>
      </c>
      <c r="C92" s="1">
        <v>12</v>
      </c>
      <c r="D92" s="1">
        <v>6</v>
      </c>
      <c r="E92" s="55"/>
      <c r="F92" s="123">
        <f t="shared" si="8"/>
        <v>0</v>
      </c>
    </row>
    <row r="93" spans="2:23">
      <c r="B93" s="45" t="s">
        <v>145</v>
      </c>
      <c r="C93" s="1">
        <v>13</v>
      </c>
      <c r="D93" s="1">
        <v>7.75</v>
      </c>
      <c r="E93" s="55"/>
      <c r="F93" s="123">
        <f t="shared" si="8"/>
        <v>0</v>
      </c>
    </row>
    <row r="94" spans="2:23">
      <c r="B94" s="45" t="s">
        <v>145</v>
      </c>
      <c r="C94" s="1">
        <v>14</v>
      </c>
      <c r="D94" s="1">
        <v>9.65</v>
      </c>
      <c r="E94" s="55"/>
      <c r="F94" s="123">
        <f t="shared" si="8"/>
        <v>0</v>
      </c>
    </row>
    <row r="95" spans="2:23">
      <c r="B95" s="45" t="s">
        <v>145</v>
      </c>
      <c r="C95" s="1">
        <v>15</v>
      </c>
      <c r="D95" s="1">
        <v>11.85</v>
      </c>
      <c r="E95" s="55"/>
      <c r="F95" s="123">
        <f t="shared" si="8"/>
        <v>0</v>
      </c>
    </row>
    <row r="96" spans="2:23">
      <c r="B96" s="45" t="s">
        <v>145</v>
      </c>
      <c r="C96" s="1">
        <v>16</v>
      </c>
      <c r="D96" s="1">
        <v>14.35</v>
      </c>
      <c r="E96" s="55"/>
      <c r="F96" s="123">
        <f t="shared" si="8"/>
        <v>0</v>
      </c>
    </row>
    <row r="97" spans="2:6">
      <c r="B97" s="45" t="s">
        <v>145</v>
      </c>
      <c r="C97" s="1">
        <v>17</v>
      </c>
      <c r="D97" s="1">
        <v>17.25</v>
      </c>
      <c r="E97" s="55"/>
      <c r="F97" s="123">
        <f t="shared" si="8"/>
        <v>0</v>
      </c>
    </row>
    <row r="98" spans="2:6">
      <c r="B98" s="45" t="s">
        <v>145</v>
      </c>
      <c r="C98" s="1">
        <v>18</v>
      </c>
      <c r="D98" s="1">
        <v>20.5</v>
      </c>
      <c r="E98" s="55"/>
      <c r="F98" s="123">
        <f t="shared" si="8"/>
        <v>0</v>
      </c>
    </row>
    <row r="99" spans="2:6">
      <c r="B99" s="45" t="s">
        <v>145</v>
      </c>
      <c r="C99" s="1">
        <v>19</v>
      </c>
      <c r="D99" s="1">
        <v>24</v>
      </c>
      <c r="E99" s="55"/>
      <c r="F99" s="123">
        <f t="shared" si="8"/>
        <v>0</v>
      </c>
    </row>
    <row r="100" spans="2:6">
      <c r="B100" s="45" t="s">
        <v>145</v>
      </c>
      <c r="C100" s="1">
        <v>20</v>
      </c>
      <c r="D100" s="1">
        <v>28</v>
      </c>
      <c r="E100" s="55"/>
      <c r="F100" s="123">
        <f t="shared" si="8"/>
        <v>0</v>
      </c>
    </row>
    <row r="101" spans="2:6">
      <c r="B101" s="45" t="s">
        <v>145</v>
      </c>
      <c r="C101" s="1">
        <v>21</v>
      </c>
      <c r="D101" s="1">
        <v>34.799999999999997</v>
      </c>
      <c r="E101" s="55"/>
      <c r="F101" s="123">
        <f t="shared" si="8"/>
        <v>0</v>
      </c>
    </row>
    <row r="102" spans="2:6" ht="15.75" thickBot="1">
      <c r="B102" s="45" t="s">
        <v>145</v>
      </c>
      <c r="C102" s="115">
        <v>22</v>
      </c>
      <c r="D102" s="115">
        <v>41.8</v>
      </c>
      <c r="E102" s="274"/>
      <c r="F102" s="117">
        <f>E102*D102</f>
        <v>0</v>
      </c>
    </row>
    <row r="103" spans="2:6" ht="15.75" thickBot="1">
      <c r="B103" s="507" t="s">
        <v>33</v>
      </c>
      <c r="C103" s="507"/>
      <c r="D103" s="508"/>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B103:D103"/>
    <mergeCell ref="T83:U83"/>
    <mergeCell ref="N84:O84"/>
    <mergeCell ref="H59:I59"/>
    <mergeCell ref="S59:U59"/>
    <mergeCell ref="H60:I60"/>
    <mergeCell ref="H61:I61"/>
    <mergeCell ref="T61:W61"/>
    <mergeCell ref="H62:I62"/>
    <mergeCell ref="H63:I63"/>
    <mergeCell ref="H64:I64"/>
    <mergeCell ref="M64:O64"/>
    <mergeCell ref="N66:Q66"/>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42" t="s">
        <v>28</v>
      </c>
      <c r="F2" s="542"/>
      <c r="G2" s="542"/>
      <c r="H2" s="542"/>
      <c r="I2" s="542"/>
      <c r="J2" s="542"/>
      <c r="K2" s="542"/>
      <c r="L2" s="542"/>
      <c r="M2" s="542"/>
      <c r="N2" s="542"/>
      <c r="O2" s="542"/>
      <c r="P2" s="542"/>
      <c r="Q2" s="542"/>
      <c r="R2" s="542"/>
      <c r="S2" s="542"/>
      <c r="T2" s="542"/>
      <c r="U2" s="542"/>
      <c r="V2" s="542"/>
      <c r="W2" s="543"/>
    </row>
    <row r="3" spans="1:23" ht="15.75" customHeight="1" thickBot="1">
      <c r="B3" s="12" t="s">
        <v>179</v>
      </c>
      <c r="C3" s="13"/>
      <c r="D3" s="13"/>
      <c r="E3" s="544"/>
      <c r="F3" s="544"/>
      <c r="G3" s="544"/>
      <c r="H3" s="544"/>
      <c r="I3" s="544"/>
      <c r="J3" s="544"/>
      <c r="K3" s="544"/>
      <c r="L3" s="544"/>
      <c r="M3" s="544"/>
      <c r="N3" s="544"/>
      <c r="O3" s="544"/>
      <c r="P3" s="544"/>
      <c r="Q3" s="544"/>
      <c r="R3" s="544"/>
      <c r="S3" s="544"/>
      <c r="T3" s="544"/>
      <c r="U3" s="544"/>
      <c r="V3" s="544"/>
      <c r="W3" s="545"/>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46" t="s">
        <v>32</v>
      </c>
      <c r="E5" s="547"/>
      <c r="F5" s="22">
        <f>K64</f>
        <v>0</v>
      </c>
      <c r="H5" s="20"/>
      <c r="I5" s="20"/>
      <c r="J5" s="20"/>
      <c r="K5" s="20"/>
      <c r="M5" s="20"/>
      <c r="N5" s="20"/>
      <c r="O5" s="20"/>
      <c r="P5" s="20"/>
      <c r="Q5" s="20"/>
      <c r="S5" s="23"/>
      <c r="T5" s="20"/>
      <c r="U5" s="20"/>
      <c r="V5" s="20"/>
      <c r="W5" s="20"/>
    </row>
    <row r="6" spans="1:23" ht="15.75" customHeight="1" thickBot="1">
      <c r="B6" s="528" t="s">
        <v>33</v>
      </c>
      <c r="C6" s="529"/>
      <c r="D6" s="529"/>
      <c r="E6" s="529"/>
      <c r="F6" s="530"/>
      <c r="H6" s="531" t="s">
        <v>127</v>
      </c>
      <c r="I6" s="532"/>
      <c r="J6" s="532"/>
      <c r="K6" s="533"/>
      <c r="M6" s="531" t="s">
        <v>35</v>
      </c>
      <c r="N6" s="532"/>
      <c r="O6" s="532"/>
      <c r="P6" s="532"/>
      <c r="Q6" s="533"/>
      <c r="S6" s="531" t="s">
        <v>36</v>
      </c>
      <c r="T6" s="532"/>
      <c r="U6" s="532"/>
      <c r="V6" s="532"/>
      <c r="W6" s="533"/>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8"/>
      <c r="M8" s="31" t="s">
        <v>18</v>
      </c>
      <c r="N8" s="31" t="s">
        <v>37</v>
      </c>
      <c r="O8" s="31" t="s">
        <v>22</v>
      </c>
      <c r="P8" s="31" t="s">
        <v>21</v>
      </c>
      <c r="Q8" s="31" t="s">
        <v>32</v>
      </c>
      <c r="S8" s="32" t="s">
        <v>38</v>
      </c>
      <c r="T8" s="33" t="s">
        <v>37</v>
      </c>
      <c r="U8" s="33" t="s">
        <v>22</v>
      </c>
      <c r="V8" s="33" t="s">
        <v>21</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145</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212</v>
      </c>
      <c r="U22" s="4">
        <v>0.5</v>
      </c>
      <c r="V22" s="57"/>
      <c r="W22" s="52">
        <f t="shared" si="3"/>
        <v>0</v>
      </c>
    </row>
    <row r="23" spans="1:23" ht="15.75" customHeight="1" thickBot="1">
      <c r="A23" s="53"/>
      <c r="B23" s="70" t="s">
        <v>213</v>
      </c>
      <c r="C23" s="71">
        <v>1.7</v>
      </c>
      <c r="D23" s="72">
        <v>0.02</v>
      </c>
      <c r="E23" s="73"/>
      <c r="F23" s="74">
        <f t="shared" si="0"/>
        <v>0</v>
      </c>
      <c r="G23" s="53"/>
      <c r="H23" s="67">
        <v>2.4</v>
      </c>
      <c r="I23" s="68">
        <v>2.3E-2</v>
      </c>
      <c r="J23" s="57"/>
      <c r="K23" s="44">
        <f t="shared" si="1"/>
        <v>0</v>
      </c>
      <c r="L23" s="8"/>
      <c r="M23" s="58" t="s">
        <v>214</v>
      </c>
      <c r="N23" s="1">
        <v>1.8</v>
      </c>
      <c r="O23" s="2">
        <v>0.04</v>
      </c>
      <c r="P23" s="59"/>
      <c r="Q23" s="44">
        <f t="shared" si="2"/>
        <v>0</v>
      </c>
      <c r="R23" s="53"/>
      <c r="S23" s="62" t="s">
        <v>215</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216</v>
      </c>
      <c r="N24" s="1">
        <v>1.9</v>
      </c>
      <c r="O24" s="2">
        <v>4.4999999999999998E-2</v>
      </c>
      <c r="P24" s="59"/>
      <c r="Q24" s="44">
        <f t="shared" si="2"/>
        <v>0</v>
      </c>
      <c r="R24" s="53"/>
      <c r="S24" s="62" t="s">
        <v>215</v>
      </c>
      <c r="T24" s="4" t="s">
        <v>217</v>
      </c>
      <c r="U24" s="4">
        <v>0.7</v>
      </c>
      <c r="V24" s="57"/>
      <c r="W24" s="52">
        <f t="shared" si="3"/>
        <v>0</v>
      </c>
    </row>
    <row r="25" spans="1:23" ht="15.75" customHeight="1">
      <c r="A25" s="53"/>
      <c r="B25" s="35" t="s">
        <v>218</v>
      </c>
      <c r="C25" s="36">
        <v>1.8</v>
      </c>
      <c r="D25" s="78">
        <v>2.5000000000000001E-2</v>
      </c>
      <c r="E25" s="38"/>
      <c r="F25" s="39">
        <f t="shared" ref="F25:F85" si="4">E25*D25</f>
        <v>0</v>
      </c>
      <c r="G25" s="53"/>
      <c r="H25" s="67">
        <v>2.6</v>
      </c>
      <c r="I25" s="68">
        <v>2.9000000000000001E-2</v>
      </c>
      <c r="J25" s="57"/>
      <c r="K25" s="44">
        <f t="shared" si="1"/>
        <v>0</v>
      </c>
      <c r="L25" s="8"/>
      <c r="M25" s="58" t="s">
        <v>219</v>
      </c>
      <c r="N25" s="1">
        <v>2</v>
      </c>
      <c r="O25" s="2">
        <v>0.05</v>
      </c>
      <c r="P25" s="59"/>
      <c r="Q25" s="44">
        <f t="shared" si="2"/>
        <v>0</v>
      </c>
      <c r="R25" s="53"/>
      <c r="S25" s="62" t="s">
        <v>220</v>
      </c>
      <c r="T25" s="4" t="s">
        <v>221</v>
      </c>
      <c r="U25" s="4">
        <v>0.75</v>
      </c>
      <c r="V25" s="57"/>
      <c r="W25" s="52">
        <f t="shared" si="3"/>
        <v>0</v>
      </c>
    </row>
    <row r="26" spans="1:23" ht="15.75" customHeight="1">
      <c r="A26" s="53"/>
      <c r="B26" s="54" t="s">
        <v>222</v>
      </c>
      <c r="C26" s="1">
        <v>1.9</v>
      </c>
      <c r="D26" s="2">
        <v>0.03</v>
      </c>
      <c r="E26" s="3"/>
      <c r="F26" s="56">
        <f t="shared" si="4"/>
        <v>0</v>
      </c>
      <c r="G26" s="64"/>
      <c r="H26" s="67">
        <v>2.7</v>
      </c>
      <c r="I26" s="68">
        <v>3.2000000000000001E-2</v>
      </c>
      <c r="J26" s="57"/>
      <c r="K26" s="44">
        <f t="shared" si="1"/>
        <v>0</v>
      </c>
      <c r="L26" s="8"/>
      <c r="M26" s="58" t="s">
        <v>223</v>
      </c>
      <c r="N26" s="1">
        <v>2.1</v>
      </c>
      <c r="O26" s="2">
        <v>0.06</v>
      </c>
      <c r="P26" s="59"/>
      <c r="Q26" s="44">
        <f t="shared" si="2"/>
        <v>0</v>
      </c>
      <c r="R26" s="53"/>
      <c r="S26" s="62" t="s">
        <v>224</v>
      </c>
      <c r="T26" s="4" t="s">
        <v>225</v>
      </c>
      <c r="U26" s="4">
        <v>0.78</v>
      </c>
      <c r="V26" s="57"/>
      <c r="W26" s="52">
        <f t="shared" si="3"/>
        <v>0</v>
      </c>
    </row>
    <row r="27" spans="1:23" ht="15.75" customHeight="1">
      <c r="A27" s="53"/>
      <c r="B27" s="54" t="s">
        <v>226</v>
      </c>
      <c r="C27" s="1">
        <v>2</v>
      </c>
      <c r="D27" s="2">
        <v>3.5000000000000003E-2</v>
      </c>
      <c r="E27" s="3"/>
      <c r="F27" s="56">
        <f t="shared" si="4"/>
        <v>0</v>
      </c>
      <c r="G27" s="40"/>
      <c r="H27" s="5">
        <v>2.8</v>
      </c>
      <c r="I27" s="2">
        <v>3.5000000000000003E-2</v>
      </c>
      <c r="J27" s="57"/>
      <c r="K27" s="44">
        <f t="shared" si="1"/>
        <v>0</v>
      </c>
      <c r="L27" s="8"/>
      <c r="M27" s="58" t="s">
        <v>227</v>
      </c>
      <c r="N27" s="1">
        <v>2.2000000000000002</v>
      </c>
      <c r="O27" s="2">
        <v>7.0000000000000007E-2</v>
      </c>
      <c r="P27" s="59"/>
      <c r="Q27" s="44">
        <f t="shared" si="2"/>
        <v>0</v>
      </c>
      <c r="R27" s="53"/>
      <c r="S27" s="62" t="s">
        <v>224</v>
      </c>
      <c r="T27" s="4" t="s">
        <v>228</v>
      </c>
      <c r="U27" s="4">
        <v>0.9</v>
      </c>
      <c r="V27" s="57"/>
      <c r="W27" s="52">
        <f t="shared" si="3"/>
        <v>0</v>
      </c>
    </row>
    <row r="28" spans="1:23" ht="15.75" customHeight="1">
      <c r="A28" s="53"/>
      <c r="B28" s="54" t="s">
        <v>229</v>
      </c>
      <c r="C28" s="1">
        <v>2.1</v>
      </c>
      <c r="D28" s="2">
        <v>0.04</v>
      </c>
      <c r="E28" s="3"/>
      <c r="F28" s="56">
        <f t="shared" si="4"/>
        <v>0</v>
      </c>
      <c r="G28" s="53"/>
      <c r="H28" s="5">
        <v>2.9</v>
      </c>
      <c r="I28" s="2">
        <v>3.7999999999999999E-2</v>
      </c>
      <c r="J28" s="57"/>
      <c r="K28" s="44">
        <f t="shared" si="1"/>
        <v>0</v>
      </c>
      <c r="L28" s="8"/>
      <c r="M28" s="58" t="s">
        <v>230</v>
      </c>
      <c r="N28" s="1">
        <v>2.2999999999999998</v>
      </c>
      <c r="O28" s="2">
        <v>0.08</v>
      </c>
      <c r="P28" s="59"/>
      <c r="Q28" s="44">
        <f t="shared" si="2"/>
        <v>0</v>
      </c>
      <c r="R28" s="53"/>
      <c r="S28" s="45" t="s">
        <v>145</v>
      </c>
      <c r="T28" s="4" t="s">
        <v>231</v>
      </c>
      <c r="U28" s="4">
        <v>1</v>
      </c>
      <c r="V28" s="57"/>
      <c r="W28" s="52">
        <f t="shared" si="3"/>
        <v>0</v>
      </c>
    </row>
    <row r="29" spans="1:23" ht="15.75" customHeight="1">
      <c r="A29" s="53"/>
      <c r="B29" s="54" t="s">
        <v>232</v>
      </c>
      <c r="C29" s="1">
        <v>2.2000000000000002</v>
      </c>
      <c r="D29" s="2">
        <v>4.4999999999999998E-2</v>
      </c>
      <c r="E29" s="3"/>
      <c r="F29" s="56">
        <f t="shared" si="4"/>
        <v>0</v>
      </c>
      <c r="G29" s="53"/>
      <c r="H29" s="67">
        <v>3</v>
      </c>
      <c r="I29" s="68">
        <v>4.1000000000000002E-2</v>
      </c>
      <c r="J29" s="57"/>
      <c r="K29" s="44">
        <f t="shared" si="1"/>
        <v>0</v>
      </c>
      <c r="L29" s="8"/>
      <c r="M29" s="58" t="s">
        <v>233</v>
      </c>
      <c r="N29" s="1">
        <v>2.4</v>
      </c>
      <c r="O29" s="2">
        <v>0.09</v>
      </c>
      <c r="P29" s="59"/>
      <c r="Q29" s="44">
        <f t="shared" si="2"/>
        <v>0</v>
      </c>
      <c r="R29" s="53"/>
      <c r="S29" s="45" t="s">
        <v>145</v>
      </c>
      <c r="T29" s="4" t="s">
        <v>234</v>
      </c>
      <c r="U29" s="4">
        <v>1.5</v>
      </c>
      <c r="V29" s="57"/>
      <c r="W29" s="52">
        <f t="shared" si="3"/>
        <v>0</v>
      </c>
    </row>
    <row r="30" spans="1:23" ht="15.75" customHeight="1">
      <c r="A30" s="53"/>
      <c r="B30" s="54" t="s">
        <v>235</v>
      </c>
      <c r="C30" s="1">
        <v>2.2999999999999998</v>
      </c>
      <c r="D30" s="2">
        <v>0.05</v>
      </c>
      <c r="E30" s="3"/>
      <c r="F30" s="56">
        <f t="shared" si="4"/>
        <v>0</v>
      </c>
      <c r="G30" s="53"/>
      <c r="H30" s="67">
        <v>3.1</v>
      </c>
      <c r="I30" s="68">
        <v>4.4999999999999998E-2</v>
      </c>
      <c r="J30" s="57"/>
      <c r="K30" s="44">
        <f t="shared" si="1"/>
        <v>0</v>
      </c>
      <c r="L30" s="8"/>
      <c r="M30" s="58" t="s">
        <v>236</v>
      </c>
      <c r="N30" s="1">
        <v>2.5</v>
      </c>
      <c r="O30" s="2">
        <v>0.1</v>
      </c>
      <c r="P30" s="59"/>
      <c r="Q30" s="44">
        <f t="shared" si="2"/>
        <v>0</v>
      </c>
      <c r="R30" s="53"/>
      <c r="S30" s="45" t="s">
        <v>145</v>
      </c>
      <c r="T30" s="4" t="s">
        <v>89</v>
      </c>
      <c r="U30" s="4">
        <v>2</v>
      </c>
      <c r="V30" s="57"/>
      <c r="W30" s="52">
        <f t="shared" si="3"/>
        <v>0</v>
      </c>
    </row>
    <row r="31" spans="1:23" ht="15.75" customHeight="1">
      <c r="A31" s="53"/>
      <c r="B31" s="54" t="s">
        <v>237</v>
      </c>
      <c r="C31" s="1">
        <v>2.4</v>
      </c>
      <c r="D31" s="2">
        <v>0.06</v>
      </c>
      <c r="E31" s="3"/>
      <c r="F31" s="56">
        <f t="shared" si="4"/>
        <v>0</v>
      </c>
      <c r="G31" s="64"/>
      <c r="H31" s="67">
        <v>3.2</v>
      </c>
      <c r="I31" s="68">
        <v>0.05</v>
      </c>
      <c r="J31" s="57"/>
      <c r="K31" s="44">
        <f t="shared" si="1"/>
        <v>0</v>
      </c>
      <c r="L31" s="8"/>
      <c r="M31" s="58" t="s">
        <v>238</v>
      </c>
      <c r="N31" s="1">
        <v>2.6</v>
      </c>
      <c r="O31" s="2">
        <v>0.11</v>
      </c>
      <c r="P31" s="59"/>
      <c r="Q31" s="44">
        <f t="shared" si="2"/>
        <v>0</v>
      </c>
      <c r="R31" s="53"/>
      <c r="S31" s="45" t="s">
        <v>145</v>
      </c>
      <c r="T31" s="4" t="s">
        <v>91</v>
      </c>
      <c r="U31" s="4">
        <v>2.25</v>
      </c>
      <c r="V31" s="57"/>
      <c r="W31" s="52">
        <f t="shared" si="3"/>
        <v>0</v>
      </c>
    </row>
    <row r="32" spans="1:23" ht="15.75" customHeight="1">
      <c r="A32" s="64"/>
      <c r="B32" s="54" t="s">
        <v>239</v>
      </c>
      <c r="C32" s="1">
        <v>2.5</v>
      </c>
      <c r="D32" s="2">
        <v>6.5000000000000002E-2</v>
      </c>
      <c r="E32" s="3"/>
      <c r="F32" s="56">
        <f t="shared" si="4"/>
        <v>0</v>
      </c>
      <c r="G32" s="40"/>
      <c r="H32" s="67">
        <v>3.3</v>
      </c>
      <c r="I32" s="68">
        <v>5.1999999999999998E-2</v>
      </c>
      <c r="J32" s="57"/>
      <c r="K32" s="44">
        <f t="shared" si="1"/>
        <v>0</v>
      </c>
      <c r="L32" s="8"/>
      <c r="M32" s="58" t="s">
        <v>240</v>
      </c>
      <c r="N32" s="1">
        <v>2.7</v>
      </c>
      <c r="O32" s="2">
        <v>0.123</v>
      </c>
      <c r="P32" s="59"/>
      <c r="Q32" s="44">
        <f t="shared" si="2"/>
        <v>0</v>
      </c>
      <c r="R32" s="53"/>
      <c r="S32" s="45" t="s">
        <v>145</v>
      </c>
      <c r="T32" s="4" t="s">
        <v>93</v>
      </c>
      <c r="U32" s="4">
        <v>3</v>
      </c>
      <c r="V32" s="57"/>
      <c r="W32" s="52">
        <f t="shared" si="3"/>
        <v>0</v>
      </c>
    </row>
    <row r="33" spans="1:23" ht="15.75" customHeight="1">
      <c r="A33" s="40"/>
      <c r="B33" s="54" t="s">
        <v>241</v>
      </c>
      <c r="C33" s="1">
        <v>2.6</v>
      </c>
      <c r="D33" s="2">
        <v>7.0000000000000007E-2</v>
      </c>
      <c r="E33" s="3"/>
      <c r="F33" s="56">
        <f t="shared" si="4"/>
        <v>0</v>
      </c>
      <c r="G33" s="53"/>
      <c r="H33" s="5">
        <v>3.4</v>
      </c>
      <c r="I33" s="2">
        <v>6.6000000000000003E-2</v>
      </c>
      <c r="J33" s="57"/>
      <c r="K33" s="44">
        <f t="shared" si="1"/>
        <v>0</v>
      </c>
      <c r="L33" s="8"/>
      <c r="M33" s="58" t="s">
        <v>242</v>
      </c>
      <c r="N33" s="1">
        <v>2.8</v>
      </c>
      <c r="O33" s="2">
        <v>0.13700000000000001</v>
      </c>
      <c r="P33" s="59"/>
      <c r="Q33" s="44">
        <f t="shared" si="2"/>
        <v>0</v>
      </c>
      <c r="R33" s="53"/>
      <c r="S33" s="45" t="s">
        <v>145</v>
      </c>
      <c r="T33" s="4" t="s">
        <v>95</v>
      </c>
      <c r="U33" s="4">
        <v>3.5</v>
      </c>
      <c r="V33" s="57"/>
      <c r="W33" s="52">
        <f t="shared" si="3"/>
        <v>0</v>
      </c>
    </row>
    <row r="34" spans="1:23" ht="15.75" customHeight="1">
      <c r="A34" s="53"/>
      <c r="B34" s="54" t="s">
        <v>243</v>
      </c>
      <c r="C34" s="4">
        <v>2.7</v>
      </c>
      <c r="D34" s="2">
        <v>0.08</v>
      </c>
      <c r="E34" s="3"/>
      <c r="F34" s="56">
        <f t="shared" si="4"/>
        <v>0</v>
      </c>
      <c r="G34" s="53"/>
      <c r="H34" s="5">
        <v>3.5</v>
      </c>
      <c r="I34" s="2">
        <v>7.5999999999999998E-2</v>
      </c>
      <c r="J34" s="57"/>
      <c r="K34" s="44">
        <f t="shared" si="1"/>
        <v>0</v>
      </c>
      <c r="L34" s="8"/>
      <c r="M34" s="58" t="s">
        <v>244</v>
      </c>
      <c r="N34" s="1">
        <v>2.9</v>
      </c>
      <c r="O34" s="2">
        <v>0.15</v>
      </c>
      <c r="P34" s="59"/>
      <c r="Q34" s="44">
        <f t="shared" si="2"/>
        <v>0</v>
      </c>
      <c r="S34" s="45" t="s">
        <v>145</v>
      </c>
      <c r="T34" s="79" t="s">
        <v>97</v>
      </c>
      <c r="U34" s="4">
        <v>5.5</v>
      </c>
      <c r="V34" s="57"/>
      <c r="W34" s="52">
        <f t="shared" si="3"/>
        <v>0</v>
      </c>
    </row>
    <row r="35" spans="1:23" ht="15.75" customHeight="1" thickBot="1">
      <c r="A35" s="53"/>
      <c r="B35" s="54" t="s">
        <v>245</v>
      </c>
      <c r="C35" s="4">
        <v>2.8</v>
      </c>
      <c r="D35" s="2">
        <v>0.09</v>
      </c>
      <c r="E35" s="3"/>
      <c r="F35" s="56">
        <f t="shared" si="4"/>
        <v>0</v>
      </c>
      <c r="G35" s="53"/>
      <c r="H35" s="67">
        <v>3.6</v>
      </c>
      <c r="I35" s="68">
        <v>0.08</v>
      </c>
      <c r="J35" s="57"/>
      <c r="K35" s="44">
        <f t="shared" si="1"/>
        <v>0</v>
      </c>
      <c r="L35" s="8"/>
      <c r="M35" s="58" t="s">
        <v>246</v>
      </c>
      <c r="N35" s="1">
        <v>3</v>
      </c>
      <c r="O35" s="2">
        <v>0.16900000000000001</v>
      </c>
      <c r="P35" s="59"/>
      <c r="Q35" s="44">
        <f t="shared" si="2"/>
        <v>0</v>
      </c>
      <c r="S35" s="45" t="s">
        <v>145</v>
      </c>
      <c r="T35" s="80" t="s">
        <v>99</v>
      </c>
      <c r="U35" s="80">
        <v>8.6</v>
      </c>
      <c r="V35" s="81"/>
      <c r="W35" s="52">
        <f t="shared" si="3"/>
        <v>0</v>
      </c>
    </row>
    <row r="36" spans="1:23" ht="15.75" customHeight="1" thickBot="1">
      <c r="A36" s="40"/>
      <c r="B36" s="54" t="s">
        <v>247</v>
      </c>
      <c r="C36" s="4">
        <v>2.9</v>
      </c>
      <c r="D36" s="2">
        <v>0.1</v>
      </c>
      <c r="E36" s="3"/>
      <c r="F36" s="56">
        <f t="shared" si="4"/>
        <v>0</v>
      </c>
      <c r="G36" s="64"/>
      <c r="H36" s="67">
        <v>3.7</v>
      </c>
      <c r="I36" s="68">
        <v>8.4000000000000005E-2</v>
      </c>
      <c r="J36" s="57"/>
      <c r="K36" s="44">
        <f t="shared" si="1"/>
        <v>0</v>
      </c>
      <c r="L36" s="8"/>
      <c r="M36" s="58" t="s">
        <v>248</v>
      </c>
      <c r="N36" s="1">
        <v>3.1</v>
      </c>
      <c r="O36" s="2">
        <v>0.186</v>
      </c>
      <c r="P36" s="59"/>
      <c r="Q36" s="44">
        <f t="shared" si="2"/>
        <v>0</v>
      </c>
      <c r="S36" s="534" t="s">
        <v>36</v>
      </c>
      <c r="T36" s="535"/>
      <c r="U36" s="536"/>
      <c r="V36" s="82">
        <f>SUM(V9:V35)</f>
        <v>0</v>
      </c>
      <c r="W36" s="83">
        <f>SUM(W9:W35)</f>
        <v>0</v>
      </c>
    </row>
    <row r="37" spans="1:23" ht="15.75" customHeight="1" thickBot="1">
      <c r="A37" s="53"/>
      <c r="B37" s="54" t="s">
        <v>249</v>
      </c>
      <c r="C37" s="1">
        <v>3</v>
      </c>
      <c r="D37" s="2">
        <v>0.11</v>
      </c>
      <c r="E37" s="3"/>
      <c r="F37" s="56">
        <f t="shared" si="4"/>
        <v>0</v>
      </c>
      <c r="G37" s="40"/>
      <c r="H37" s="67">
        <v>3.8</v>
      </c>
      <c r="I37" s="68">
        <v>0.1</v>
      </c>
      <c r="J37" s="57"/>
      <c r="K37" s="44">
        <f t="shared" si="1"/>
        <v>0</v>
      </c>
      <c r="L37" s="8"/>
      <c r="M37" s="58" t="s">
        <v>250</v>
      </c>
      <c r="N37" s="1">
        <v>3.2</v>
      </c>
      <c r="O37" s="2">
        <v>0.2</v>
      </c>
      <c r="P37" s="59"/>
      <c r="Q37" s="44">
        <f t="shared" si="2"/>
        <v>0</v>
      </c>
      <c r="S37" s="84"/>
      <c r="T37" s="84"/>
      <c r="U37" s="84"/>
      <c r="V37" s="85"/>
      <c r="W37" s="84"/>
    </row>
    <row r="38" spans="1:23" ht="15.75" customHeight="1" thickBot="1">
      <c r="A38" s="64"/>
      <c r="B38" s="54" t="s">
        <v>251</v>
      </c>
      <c r="C38" s="1">
        <v>3.1</v>
      </c>
      <c r="D38" s="2">
        <v>0.12</v>
      </c>
      <c r="E38" s="3"/>
      <c r="F38" s="56">
        <f t="shared" si="4"/>
        <v>0</v>
      </c>
      <c r="G38" s="40"/>
      <c r="H38" s="5">
        <v>3.9</v>
      </c>
      <c r="I38" s="2">
        <v>0.11</v>
      </c>
      <c r="J38" s="57"/>
      <c r="K38" s="44">
        <f t="shared" si="1"/>
        <v>0</v>
      </c>
      <c r="L38" s="8"/>
      <c r="M38" s="58" t="s">
        <v>252</v>
      </c>
      <c r="N38" s="1">
        <v>3.3</v>
      </c>
      <c r="O38" s="2">
        <v>0.224</v>
      </c>
      <c r="P38" s="59"/>
      <c r="Q38" s="44">
        <f t="shared" si="2"/>
        <v>0</v>
      </c>
      <c r="S38" s="512" t="s">
        <v>105</v>
      </c>
      <c r="T38" s="513"/>
      <c r="U38" s="513"/>
      <c r="V38" s="513"/>
      <c r="W38" s="514"/>
    </row>
    <row r="39" spans="1:23" ht="15.75" customHeight="1" thickBot="1">
      <c r="A39" s="40"/>
      <c r="B39" s="54" t="s">
        <v>253</v>
      </c>
      <c r="C39" s="1">
        <v>3.2</v>
      </c>
      <c r="D39" s="2">
        <v>0.13</v>
      </c>
      <c r="E39" s="3"/>
      <c r="F39" s="56">
        <f t="shared" si="4"/>
        <v>0</v>
      </c>
      <c r="G39" s="40"/>
      <c r="H39" s="5">
        <v>4</v>
      </c>
      <c r="I39" s="2">
        <v>0.122</v>
      </c>
      <c r="J39" s="57"/>
      <c r="K39" s="44">
        <f t="shared" si="1"/>
        <v>0</v>
      </c>
      <c r="L39" s="8"/>
      <c r="M39" s="58" t="s">
        <v>254</v>
      </c>
      <c r="N39" s="1">
        <v>3.4</v>
      </c>
      <c r="O39" s="2">
        <v>0.25</v>
      </c>
      <c r="P39" s="59"/>
      <c r="Q39" s="44">
        <f t="shared" si="2"/>
        <v>0</v>
      </c>
      <c r="S39" s="214" t="s">
        <v>38</v>
      </c>
      <c r="T39" s="86" t="s">
        <v>37</v>
      </c>
      <c r="U39" s="86" t="s">
        <v>22</v>
      </c>
      <c r="V39" s="86" t="s">
        <v>21</v>
      </c>
      <c r="W39" s="86" t="s">
        <v>32</v>
      </c>
    </row>
    <row r="40" spans="1:23" ht="15.75" customHeight="1">
      <c r="A40" s="53"/>
      <c r="B40" s="87" t="s">
        <v>255</v>
      </c>
      <c r="C40" s="4">
        <v>3.3</v>
      </c>
      <c r="D40" s="68">
        <v>0.14599999999999999</v>
      </c>
      <c r="E40" s="3"/>
      <c r="F40" s="56">
        <f t="shared" si="4"/>
        <v>0</v>
      </c>
      <c r="G40" s="40"/>
      <c r="H40" s="5">
        <v>4.0999999999999996</v>
      </c>
      <c r="I40" s="2">
        <v>0.13</v>
      </c>
      <c r="J40" s="57"/>
      <c r="K40" s="44">
        <f t="shared" si="1"/>
        <v>0</v>
      </c>
      <c r="L40" s="8"/>
      <c r="M40" s="58" t="s">
        <v>256</v>
      </c>
      <c r="N40" s="1">
        <v>3.5</v>
      </c>
      <c r="O40" s="2">
        <v>0.26800000000000002</v>
      </c>
      <c r="P40" s="59"/>
      <c r="Q40" s="44">
        <f t="shared" si="2"/>
        <v>0</v>
      </c>
      <c r="S40" s="45" t="s">
        <v>145</v>
      </c>
      <c r="T40" s="43" t="s">
        <v>110</v>
      </c>
      <c r="U40" s="88">
        <v>0.03</v>
      </c>
      <c r="V40" s="89"/>
      <c r="W40" s="90">
        <f>U40*V40</f>
        <v>0</v>
      </c>
    </row>
    <row r="41" spans="1:23" ht="15.75" customHeight="1">
      <c r="A41" s="53"/>
      <c r="B41" s="54" t="s">
        <v>257</v>
      </c>
      <c r="C41" s="1">
        <v>3.4</v>
      </c>
      <c r="D41" s="2">
        <v>0.153</v>
      </c>
      <c r="E41" s="3"/>
      <c r="F41" s="56">
        <f t="shared" si="4"/>
        <v>0</v>
      </c>
      <c r="G41" s="40"/>
      <c r="H41" s="5">
        <v>4.2</v>
      </c>
      <c r="I41" s="2">
        <v>0.14799999999999999</v>
      </c>
      <c r="J41" s="57"/>
      <c r="K41" s="44">
        <f t="shared" si="1"/>
        <v>0</v>
      </c>
      <c r="L41" s="8"/>
      <c r="M41" s="58" t="s">
        <v>258</v>
      </c>
      <c r="N41" s="1">
        <v>3.6</v>
      </c>
      <c r="O41" s="2">
        <v>0.29099999999999998</v>
      </c>
      <c r="P41" s="59"/>
      <c r="Q41" s="44">
        <f t="shared" si="2"/>
        <v>0</v>
      </c>
      <c r="S41" s="45" t="s">
        <v>145</v>
      </c>
      <c r="T41" s="43" t="s">
        <v>113</v>
      </c>
      <c r="U41" s="88">
        <v>4.4999999999999998E-2</v>
      </c>
      <c r="V41" s="43"/>
      <c r="W41" s="90">
        <f>U41*V41</f>
        <v>0</v>
      </c>
    </row>
    <row r="42" spans="1:23" ht="15.75" customHeight="1">
      <c r="A42" s="40"/>
      <c r="B42" s="54" t="s">
        <v>259</v>
      </c>
      <c r="C42" s="4">
        <v>3.5</v>
      </c>
      <c r="D42" s="2">
        <v>0.16500000000000001</v>
      </c>
      <c r="E42" s="3"/>
      <c r="F42" s="56">
        <f t="shared" si="4"/>
        <v>0</v>
      </c>
      <c r="G42" s="40"/>
      <c r="H42" s="5">
        <v>4.3</v>
      </c>
      <c r="I42" s="2">
        <v>0.15</v>
      </c>
      <c r="J42" s="57"/>
      <c r="K42" s="44">
        <f t="shared" si="1"/>
        <v>0</v>
      </c>
      <c r="L42" s="8"/>
      <c r="M42" s="58" t="s">
        <v>260</v>
      </c>
      <c r="N42" s="1">
        <v>3.7</v>
      </c>
      <c r="O42" s="2">
        <v>0.316</v>
      </c>
      <c r="P42" s="59"/>
      <c r="Q42" s="44">
        <f t="shared" si="2"/>
        <v>0</v>
      </c>
      <c r="R42" s="40"/>
      <c r="S42" s="45" t="s">
        <v>145</v>
      </c>
      <c r="T42" s="57" t="s">
        <v>116</v>
      </c>
      <c r="U42" s="91">
        <v>5.5E-2</v>
      </c>
      <c r="V42" s="57"/>
      <c r="W42" s="90">
        <f t="shared" ref="W42:W58" si="5">U42*V42</f>
        <v>0</v>
      </c>
    </row>
    <row r="43" spans="1:23" ht="15.75" customHeight="1">
      <c r="A43" s="53"/>
      <c r="B43" s="54" t="s">
        <v>261</v>
      </c>
      <c r="C43" s="1">
        <v>3.6</v>
      </c>
      <c r="D43" s="2">
        <v>0.19500000000000001</v>
      </c>
      <c r="E43" s="3"/>
      <c r="F43" s="56">
        <f t="shared" si="4"/>
        <v>0</v>
      </c>
      <c r="G43" s="40"/>
      <c r="H43" s="5">
        <v>4.4000000000000004</v>
      </c>
      <c r="I43" s="2">
        <v>0.16400000000000001</v>
      </c>
      <c r="J43" s="57"/>
      <c r="K43" s="44">
        <f t="shared" si="1"/>
        <v>0</v>
      </c>
      <c r="L43" s="8"/>
      <c r="M43" s="58" t="s">
        <v>262</v>
      </c>
      <c r="N43" s="1">
        <v>3.8</v>
      </c>
      <c r="O43" s="2">
        <v>0.33</v>
      </c>
      <c r="P43" s="59"/>
      <c r="Q43" s="44">
        <f t="shared" si="2"/>
        <v>0</v>
      </c>
      <c r="R43" s="64"/>
      <c r="S43" s="45" t="s">
        <v>145</v>
      </c>
      <c r="T43" s="57" t="s">
        <v>119</v>
      </c>
      <c r="U43" s="91">
        <v>5.8000000000000003E-2</v>
      </c>
      <c r="V43" s="57"/>
      <c r="W43" s="90">
        <f t="shared" si="5"/>
        <v>0</v>
      </c>
    </row>
    <row r="44" spans="1:23" ht="15.75" customHeight="1">
      <c r="A44" s="64"/>
      <c r="B44" s="54" t="s">
        <v>263</v>
      </c>
      <c r="C44" s="1">
        <v>3.7</v>
      </c>
      <c r="D44" s="2">
        <v>0.21</v>
      </c>
      <c r="E44" s="3"/>
      <c r="F44" s="56">
        <f t="shared" si="4"/>
        <v>0</v>
      </c>
      <c r="G44" s="40"/>
      <c r="H44" s="5">
        <v>4.5</v>
      </c>
      <c r="I44" s="2">
        <v>0.17199999999999999</v>
      </c>
      <c r="J44" s="57"/>
      <c r="K44" s="44">
        <f t="shared" si="1"/>
        <v>0</v>
      </c>
      <c r="L44" s="8"/>
      <c r="M44" s="58" t="s">
        <v>264</v>
      </c>
      <c r="N44" s="1">
        <v>3.9</v>
      </c>
      <c r="O44" s="2">
        <v>0.37</v>
      </c>
      <c r="P44" s="59"/>
      <c r="Q44" s="44">
        <f t="shared" si="2"/>
        <v>0</v>
      </c>
      <c r="R44" s="53"/>
      <c r="S44" s="62" t="s">
        <v>185</v>
      </c>
      <c r="T44" s="4" t="s">
        <v>122</v>
      </c>
      <c r="U44" s="68">
        <v>7.0000000000000007E-2</v>
      </c>
      <c r="V44" s="57"/>
      <c r="W44" s="90">
        <f t="shared" si="5"/>
        <v>0</v>
      </c>
    </row>
    <row r="45" spans="1:23" ht="15.75" customHeight="1" thickBot="1">
      <c r="A45" s="53"/>
      <c r="B45" s="54" t="s">
        <v>265</v>
      </c>
      <c r="C45" s="1">
        <v>3.8</v>
      </c>
      <c r="D45" s="2">
        <v>0.23909090909090908</v>
      </c>
      <c r="E45" s="3"/>
      <c r="F45" s="56">
        <f t="shared" si="4"/>
        <v>0</v>
      </c>
      <c r="G45" s="40"/>
      <c r="H45" s="92">
        <v>4.5999999999999996</v>
      </c>
      <c r="I45" s="93">
        <v>0.18</v>
      </c>
      <c r="J45" s="94"/>
      <c r="K45" s="44">
        <f t="shared" si="1"/>
        <v>0</v>
      </c>
      <c r="L45" s="8"/>
      <c r="M45" s="58" t="s">
        <v>266</v>
      </c>
      <c r="N45" s="1">
        <v>4</v>
      </c>
      <c r="O45" s="2">
        <v>0.4</v>
      </c>
      <c r="P45" s="59"/>
      <c r="Q45" s="44">
        <f t="shared" si="2"/>
        <v>0</v>
      </c>
      <c r="R45" s="53"/>
      <c r="S45" s="62" t="s">
        <v>185</v>
      </c>
      <c r="T45" s="4" t="s">
        <v>125</v>
      </c>
      <c r="U45" s="68">
        <v>0.09</v>
      </c>
      <c r="V45" s="57"/>
      <c r="W45" s="90">
        <f t="shared" si="5"/>
        <v>0</v>
      </c>
    </row>
    <row r="46" spans="1:23" ht="15.75" customHeight="1" thickBot="1">
      <c r="A46" s="53"/>
      <c r="B46" s="87" t="s">
        <v>267</v>
      </c>
      <c r="C46" s="4">
        <v>3.9</v>
      </c>
      <c r="D46" s="68">
        <v>0.25189189189189187</v>
      </c>
      <c r="E46" s="3"/>
      <c r="F46" s="56">
        <f t="shared" si="4"/>
        <v>0</v>
      </c>
      <c r="H46" s="534" t="s">
        <v>127</v>
      </c>
      <c r="I46" s="536"/>
      <c r="J46" s="95">
        <f>SUM(J9:J45)</f>
        <v>0</v>
      </c>
      <c r="K46" s="83">
        <f>SUM(K9:K45)</f>
        <v>0</v>
      </c>
      <c r="L46" s="8"/>
      <c r="M46" s="58" t="s">
        <v>268</v>
      </c>
      <c r="N46" s="1">
        <v>4.0999999999999996</v>
      </c>
      <c r="O46" s="2">
        <v>0.43</v>
      </c>
      <c r="P46" s="59"/>
      <c r="Q46" s="44">
        <f t="shared" si="2"/>
        <v>0</v>
      </c>
      <c r="R46" s="64"/>
      <c r="S46" s="62" t="s">
        <v>185</v>
      </c>
      <c r="T46" s="4" t="s">
        <v>128</v>
      </c>
      <c r="U46" s="68">
        <v>0.1</v>
      </c>
      <c r="V46" s="57"/>
      <c r="W46" s="90">
        <f t="shared" si="5"/>
        <v>0</v>
      </c>
    </row>
    <row r="47" spans="1:23" ht="15.75" customHeight="1">
      <c r="A47" s="64"/>
      <c r="B47" s="54" t="s">
        <v>269</v>
      </c>
      <c r="C47" s="1">
        <v>4</v>
      </c>
      <c r="D47" s="2">
        <v>0.26421052631578945</v>
      </c>
      <c r="E47" s="3"/>
      <c r="F47" s="56">
        <f t="shared" si="4"/>
        <v>0</v>
      </c>
      <c r="L47" s="8"/>
      <c r="M47" s="58" t="s">
        <v>270</v>
      </c>
      <c r="N47" s="1">
        <v>4.2</v>
      </c>
      <c r="O47" s="2">
        <v>0.46500000000000002</v>
      </c>
      <c r="P47" s="59"/>
      <c r="Q47" s="44">
        <f t="shared" si="2"/>
        <v>0</v>
      </c>
      <c r="R47" s="53"/>
      <c r="S47" s="62" t="s">
        <v>190</v>
      </c>
      <c r="T47" s="4" t="s">
        <v>130</v>
      </c>
      <c r="U47" s="68">
        <v>0.15</v>
      </c>
      <c r="V47" s="57"/>
      <c r="W47" s="90">
        <f t="shared" si="5"/>
        <v>0</v>
      </c>
    </row>
    <row r="48" spans="1:23" ht="15.75" customHeight="1">
      <c r="A48" s="53"/>
      <c r="B48" s="54" t="s">
        <v>271</v>
      </c>
      <c r="C48" s="1">
        <v>4.0999999999999996</v>
      </c>
      <c r="D48" s="2">
        <v>0.3</v>
      </c>
      <c r="E48" s="3"/>
      <c r="F48" s="56">
        <f t="shared" si="4"/>
        <v>0</v>
      </c>
      <c r="L48" s="8"/>
      <c r="M48" s="58" t="s">
        <v>272</v>
      </c>
      <c r="N48" s="1">
        <v>4.3</v>
      </c>
      <c r="O48" s="2">
        <v>0.5</v>
      </c>
      <c r="P48" s="59"/>
      <c r="Q48" s="44">
        <f t="shared" si="2"/>
        <v>0</v>
      </c>
      <c r="R48" s="53"/>
      <c r="S48" s="62" t="s">
        <v>190</v>
      </c>
      <c r="T48" s="4" t="s">
        <v>132</v>
      </c>
      <c r="U48" s="68">
        <v>0.15</v>
      </c>
      <c r="V48" s="57"/>
      <c r="W48" s="90">
        <f t="shared" si="5"/>
        <v>0</v>
      </c>
    </row>
    <row r="49" spans="1:23" ht="15.75" customHeight="1">
      <c r="A49" s="53"/>
      <c r="B49" s="54" t="s">
        <v>273</v>
      </c>
      <c r="C49" s="4">
        <v>4.2</v>
      </c>
      <c r="D49" s="2">
        <v>0.31</v>
      </c>
      <c r="E49" s="3"/>
      <c r="F49" s="56">
        <f t="shared" si="4"/>
        <v>0</v>
      </c>
      <c r="H49" s="96" t="s">
        <v>134</v>
      </c>
      <c r="I49" s="97" t="s">
        <v>135</v>
      </c>
      <c r="J49" s="53"/>
      <c r="K49" s="53"/>
      <c r="L49" s="8"/>
      <c r="M49" s="58" t="s">
        <v>274</v>
      </c>
      <c r="N49" s="1">
        <v>4.4000000000000004</v>
      </c>
      <c r="O49" s="2">
        <v>0.53200000000000003</v>
      </c>
      <c r="P49" s="59"/>
      <c r="Q49" s="44">
        <f t="shared" si="2"/>
        <v>0</v>
      </c>
      <c r="R49" s="53"/>
      <c r="S49" s="62" t="s">
        <v>195</v>
      </c>
      <c r="T49" s="4" t="s">
        <v>136</v>
      </c>
      <c r="U49" s="68">
        <v>0.25</v>
      </c>
      <c r="V49" s="57"/>
      <c r="W49" s="90">
        <f t="shared" si="5"/>
        <v>0</v>
      </c>
    </row>
    <row r="50" spans="1:23" ht="15.75" customHeight="1">
      <c r="A50" s="53"/>
      <c r="B50" s="54" t="s">
        <v>275</v>
      </c>
      <c r="C50" s="4">
        <v>4.3</v>
      </c>
      <c r="D50" s="1">
        <v>0.33</v>
      </c>
      <c r="E50" s="3"/>
      <c r="F50" s="56">
        <f t="shared" si="4"/>
        <v>0</v>
      </c>
      <c r="L50" s="8"/>
      <c r="M50" s="45" t="s">
        <v>145</v>
      </c>
      <c r="N50" s="1">
        <v>4.5</v>
      </c>
      <c r="O50" s="2">
        <v>0.6</v>
      </c>
      <c r="P50" s="59"/>
      <c r="Q50" s="44">
        <f t="shared" si="2"/>
        <v>0</v>
      </c>
      <c r="R50" s="53"/>
      <c r="S50" s="62" t="s">
        <v>202</v>
      </c>
      <c r="T50" s="4" t="s">
        <v>276</v>
      </c>
      <c r="U50" s="68">
        <v>0.33</v>
      </c>
      <c r="V50" s="57"/>
      <c r="W50" s="90">
        <f t="shared" si="5"/>
        <v>0</v>
      </c>
    </row>
    <row r="51" spans="1:23" ht="15.75" customHeight="1">
      <c r="A51" s="53"/>
      <c r="B51" s="54" t="s">
        <v>277</v>
      </c>
      <c r="C51" s="1">
        <v>4.4000000000000004</v>
      </c>
      <c r="D51" s="1">
        <v>0.38</v>
      </c>
      <c r="E51" s="3"/>
      <c r="F51" s="56">
        <f t="shared" si="4"/>
        <v>0</v>
      </c>
      <c r="I51" s="98" t="s">
        <v>139</v>
      </c>
      <c r="J51" s="64"/>
      <c r="K51" s="64"/>
      <c r="L51" s="8"/>
      <c r="M51" s="45" t="s">
        <v>145</v>
      </c>
      <c r="N51" s="1">
        <v>5</v>
      </c>
      <c r="O51" s="2">
        <v>0.75</v>
      </c>
      <c r="P51" s="59"/>
      <c r="Q51" s="44">
        <f t="shared" si="2"/>
        <v>0</v>
      </c>
      <c r="R51" s="53"/>
      <c r="S51" s="62" t="s">
        <v>209</v>
      </c>
      <c r="T51" s="4" t="s">
        <v>278</v>
      </c>
      <c r="U51" s="68">
        <v>0.4</v>
      </c>
      <c r="V51" s="57"/>
      <c r="W51" s="90">
        <f t="shared" si="5"/>
        <v>0</v>
      </c>
    </row>
    <row r="52" spans="1:23" ht="15.75" customHeight="1">
      <c r="A52" s="53"/>
      <c r="B52" s="54" t="s">
        <v>279</v>
      </c>
      <c r="C52" s="4">
        <v>4.5</v>
      </c>
      <c r="D52" s="1">
        <v>0.39</v>
      </c>
      <c r="E52" s="3"/>
      <c r="F52" s="56">
        <f t="shared" si="4"/>
        <v>0</v>
      </c>
      <c r="L52" s="8"/>
      <c r="M52" s="45" t="s">
        <v>145</v>
      </c>
      <c r="N52" s="1">
        <v>5.5</v>
      </c>
      <c r="O52" s="2">
        <v>1</v>
      </c>
      <c r="P52" s="59"/>
      <c r="Q52" s="44">
        <f t="shared" si="2"/>
        <v>0</v>
      </c>
      <c r="R52" s="53"/>
      <c r="S52" s="62" t="s">
        <v>215</v>
      </c>
      <c r="T52" s="4" t="s">
        <v>280</v>
      </c>
      <c r="U52" s="68">
        <v>0.5</v>
      </c>
      <c r="V52" s="57"/>
      <c r="W52" s="90">
        <f t="shared" si="5"/>
        <v>0</v>
      </c>
    </row>
    <row r="53" spans="1:23" ht="15.75" customHeight="1">
      <c r="A53" s="53"/>
      <c r="B53" s="54" t="s">
        <v>142</v>
      </c>
      <c r="C53" s="1">
        <v>4.5999999999999996</v>
      </c>
      <c r="D53" s="1">
        <v>0.4</v>
      </c>
      <c r="E53" s="3"/>
      <c r="F53" s="56">
        <f t="shared" si="4"/>
        <v>0</v>
      </c>
      <c r="I53" s="99" t="s">
        <v>143</v>
      </c>
      <c r="J53" s="40"/>
      <c r="K53" s="40"/>
      <c r="M53" s="45" t="s">
        <v>145</v>
      </c>
      <c r="N53" s="1">
        <v>6</v>
      </c>
      <c r="O53" s="1">
        <v>1.3</v>
      </c>
      <c r="P53" s="59"/>
      <c r="Q53" s="44">
        <f t="shared" si="2"/>
        <v>0</v>
      </c>
      <c r="R53" s="53"/>
      <c r="S53" s="62" t="s">
        <v>220</v>
      </c>
      <c r="T53" s="4" t="s">
        <v>281</v>
      </c>
      <c r="U53" s="68">
        <v>0.75</v>
      </c>
      <c r="V53" s="57"/>
      <c r="W53" s="90">
        <f t="shared" si="5"/>
        <v>0</v>
      </c>
    </row>
    <row r="54" spans="1:23" ht="15.75" customHeight="1">
      <c r="A54" s="53"/>
      <c r="B54" s="45" t="s">
        <v>145</v>
      </c>
      <c r="C54" s="1">
        <v>4.7</v>
      </c>
      <c r="D54" s="1">
        <v>0.46</v>
      </c>
      <c r="E54" s="3"/>
      <c r="F54" s="56">
        <f t="shared" si="4"/>
        <v>0</v>
      </c>
      <c r="M54" s="45" t="s">
        <v>145</v>
      </c>
      <c r="N54" s="1">
        <v>7</v>
      </c>
      <c r="O54" s="1">
        <v>2</v>
      </c>
      <c r="P54" s="59"/>
      <c r="Q54" s="44">
        <f t="shared" si="2"/>
        <v>0</v>
      </c>
      <c r="R54" s="53"/>
      <c r="S54" s="62" t="s">
        <v>224</v>
      </c>
      <c r="T54" s="4" t="s">
        <v>282</v>
      </c>
      <c r="U54" s="68">
        <v>0.85</v>
      </c>
      <c r="V54" s="57"/>
      <c r="W54" s="90">
        <f t="shared" si="5"/>
        <v>0</v>
      </c>
    </row>
    <row r="55" spans="1:23" ht="15.75" customHeight="1" thickBot="1">
      <c r="A55" s="64"/>
      <c r="B55" s="45" t="s">
        <v>145</v>
      </c>
      <c r="C55" s="4">
        <v>4.8</v>
      </c>
      <c r="D55" s="4">
        <v>0.49</v>
      </c>
      <c r="E55" s="3"/>
      <c r="F55" s="56">
        <f t="shared" si="4"/>
        <v>0</v>
      </c>
      <c r="M55" s="45" t="s">
        <v>145</v>
      </c>
      <c r="N55" s="1">
        <v>8</v>
      </c>
      <c r="O55" s="1">
        <v>2.9</v>
      </c>
      <c r="P55" s="59"/>
      <c r="Q55" s="44">
        <f t="shared" si="2"/>
        <v>0</v>
      </c>
      <c r="R55" s="53"/>
      <c r="S55" s="45" t="s">
        <v>145</v>
      </c>
      <c r="T55" s="4" t="s">
        <v>283</v>
      </c>
      <c r="U55" s="68">
        <v>1</v>
      </c>
      <c r="V55" s="57"/>
      <c r="W55" s="90">
        <f t="shared" si="5"/>
        <v>0</v>
      </c>
    </row>
    <row r="56" spans="1:23" ht="15.75" customHeight="1" thickBot="1">
      <c r="A56" s="53"/>
      <c r="B56" s="45" t="s">
        <v>145</v>
      </c>
      <c r="C56" s="1">
        <v>4.9000000000000004</v>
      </c>
      <c r="D56" s="1">
        <v>0.5</v>
      </c>
      <c r="E56" s="3"/>
      <c r="F56" s="56">
        <f t="shared" si="4"/>
        <v>0</v>
      </c>
      <c r="H56" s="548" t="s">
        <v>148</v>
      </c>
      <c r="I56" s="548"/>
      <c r="J56" s="214" t="s">
        <v>21</v>
      </c>
      <c r="K56" s="214" t="s">
        <v>32</v>
      </c>
      <c r="M56" s="45" t="s">
        <v>145</v>
      </c>
      <c r="N56" s="1">
        <v>9</v>
      </c>
      <c r="O56" s="1">
        <v>4.4000000000000004</v>
      </c>
      <c r="P56" s="59"/>
      <c r="Q56" s="44">
        <f t="shared" si="2"/>
        <v>0</v>
      </c>
      <c r="R56" s="53"/>
      <c r="S56" s="45" t="s">
        <v>145</v>
      </c>
      <c r="T56" s="4" t="s">
        <v>284</v>
      </c>
      <c r="U56" s="68">
        <v>2</v>
      </c>
      <c r="V56" s="57"/>
      <c r="W56" s="90">
        <f t="shared" si="5"/>
        <v>0</v>
      </c>
    </row>
    <row r="57" spans="1:23" ht="15.75" customHeight="1">
      <c r="A57" s="53"/>
      <c r="B57" s="45" t="s">
        <v>145</v>
      </c>
      <c r="C57" s="4">
        <v>5</v>
      </c>
      <c r="D57" s="4">
        <v>0.52</v>
      </c>
      <c r="E57" s="3"/>
      <c r="F57" s="56">
        <f t="shared" si="4"/>
        <v>0</v>
      </c>
      <c r="H57" s="549" t="s">
        <v>33</v>
      </c>
      <c r="I57" s="550"/>
      <c r="J57" s="100">
        <f>E103</f>
        <v>0</v>
      </c>
      <c r="K57" s="100">
        <f>F103</f>
        <v>0</v>
      </c>
      <c r="M57" s="45" t="s">
        <v>145</v>
      </c>
      <c r="N57" s="1">
        <v>10</v>
      </c>
      <c r="O57" s="1">
        <v>6</v>
      </c>
      <c r="P57" s="59"/>
      <c r="Q57" s="44">
        <f t="shared" si="2"/>
        <v>0</v>
      </c>
      <c r="S57" s="45" t="s">
        <v>145</v>
      </c>
      <c r="T57" s="4" t="s">
        <v>150</v>
      </c>
      <c r="U57" s="68">
        <v>3</v>
      </c>
      <c r="V57" s="57"/>
      <c r="W57" s="90">
        <f t="shared" si="5"/>
        <v>0</v>
      </c>
    </row>
    <row r="58" spans="1:23" ht="15.75" customHeight="1" thickBot="1">
      <c r="A58" s="40"/>
      <c r="B58" s="45" t="s">
        <v>145</v>
      </c>
      <c r="C58" s="4">
        <v>5.0999999999999996</v>
      </c>
      <c r="D58" s="1">
        <v>0.56000000000000005</v>
      </c>
      <c r="E58" s="3"/>
      <c r="F58" s="56">
        <f t="shared" si="4"/>
        <v>0</v>
      </c>
      <c r="H58" s="540" t="s">
        <v>127</v>
      </c>
      <c r="I58" s="541"/>
      <c r="J58" s="101">
        <f>J46</f>
        <v>0</v>
      </c>
      <c r="K58" s="102">
        <f>K46</f>
        <v>0</v>
      </c>
      <c r="M58" s="45" t="s">
        <v>145</v>
      </c>
      <c r="N58" s="1">
        <v>11</v>
      </c>
      <c r="O58" s="1">
        <v>8</v>
      </c>
      <c r="P58" s="59"/>
      <c r="Q58" s="44">
        <f t="shared" si="2"/>
        <v>0</v>
      </c>
      <c r="S58" s="45" t="s">
        <v>145</v>
      </c>
      <c r="T58" s="80" t="s">
        <v>151</v>
      </c>
      <c r="U58" s="103">
        <v>4</v>
      </c>
      <c r="V58" s="81"/>
      <c r="W58" s="90">
        <f t="shared" si="5"/>
        <v>0</v>
      </c>
    </row>
    <row r="59" spans="1:23" ht="15.75" customHeight="1" thickBot="1">
      <c r="A59" s="53"/>
      <c r="B59" s="45" t="s">
        <v>145</v>
      </c>
      <c r="C59" s="4">
        <v>5.2</v>
      </c>
      <c r="D59" s="1">
        <v>0.61</v>
      </c>
      <c r="E59" s="3"/>
      <c r="F59" s="56">
        <f t="shared" si="4"/>
        <v>0</v>
      </c>
      <c r="H59" s="540" t="s">
        <v>35</v>
      </c>
      <c r="I59" s="541"/>
      <c r="J59" s="101">
        <f>P64</f>
        <v>0</v>
      </c>
      <c r="K59" s="102">
        <f>Q64</f>
        <v>0</v>
      </c>
      <c r="M59" s="45" t="s">
        <v>145</v>
      </c>
      <c r="N59" s="1">
        <v>12</v>
      </c>
      <c r="O59" s="1">
        <v>10.35</v>
      </c>
      <c r="P59" s="59"/>
      <c r="Q59" s="44">
        <f t="shared" si="2"/>
        <v>0</v>
      </c>
      <c r="S59" s="551" t="s">
        <v>105</v>
      </c>
      <c r="T59" s="551"/>
      <c r="U59" s="551"/>
      <c r="V59" s="215">
        <f>SUM(V40:V58)</f>
        <v>0</v>
      </c>
      <c r="W59" s="83">
        <f>SUM(W40:W58)</f>
        <v>0</v>
      </c>
    </row>
    <row r="60" spans="1:23" ht="15.75" customHeight="1" thickBot="1">
      <c r="A60" s="53"/>
      <c r="B60" s="45" t="s">
        <v>145</v>
      </c>
      <c r="C60" s="4">
        <v>5.3</v>
      </c>
      <c r="D60" s="1">
        <v>0.63</v>
      </c>
      <c r="E60" s="3"/>
      <c r="F60" s="56">
        <f t="shared" si="4"/>
        <v>0</v>
      </c>
      <c r="H60" s="540" t="s">
        <v>36</v>
      </c>
      <c r="I60" s="541"/>
      <c r="J60" s="101">
        <f>V36</f>
        <v>0</v>
      </c>
      <c r="K60" s="102">
        <f>W36</f>
        <v>0</v>
      </c>
      <c r="M60" s="45" t="s">
        <v>145</v>
      </c>
      <c r="N60" s="1">
        <v>13</v>
      </c>
      <c r="O60" s="1">
        <v>13.2</v>
      </c>
      <c r="P60" s="59"/>
      <c r="Q60" s="44">
        <f t="shared" si="2"/>
        <v>0</v>
      </c>
    </row>
    <row r="61" spans="1:23" ht="15.75" customHeight="1" thickBot="1">
      <c r="A61" s="64"/>
      <c r="B61" s="45" t="s">
        <v>145</v>
      </c>
      <c r="C61" s="1">
        <v>5.4</v>
      </c>
      <c r="D61" s="1">
        <v>0.65</v>
      </c>
      <c r="E61" s="3"/>
      <c r="F61" s="56">
        <f t="shared" si="4"/>
        <v>0</v>
      </c>
      <c r="H61" s="540" t="s">
        <v>152</v>
      </c>
      <c r="I61" s="541"/>
      <c r="J61" s="57">
        <f>V59</f>
        <v>0</v>
      </c>
      <c r="K61" s="102">
        <f>W59</f>
        <v>0</v>
      </c>
      <c r="M61" s="45" t="s">
        <v>145</v>
      </c>
      <c r="N61" s="1">
        <v>14</v>
      </c>
      <c r="O61" s="1">
        <v>16.5</v>
      </c>
      <c r="P61" s="59"/>
      <c r="Q61" s="44">
        <f t="shared" si="2"/>
        <v>0</v>
      </c>
      <c r="T61" s="512" t="s">
        <v>153</v>
      </c>
      <c r="U61" s="513"/>
      <c r="V61" s="513"/>
      <c r="W61" s="514"/>
    </row>
    <row r="62" spans="1:23" ht="15.75" customHeight="1" thickBot="1">
      <c r="A62" s="64"/>
      <c r="B62" s="45" t="s">
        <v>145</v>
      </c>
      <c r="C62" s="1">
        <v>5.5</v>
      </c>
      <c r="D62" s="1">
        <v>0.67</v>
      </c>
      <c r="E62" s="3"/>
      <c r="F62" s="56">
        <f t="shared" si="4"/>
        <v>0</v>
      </c>
      <c r="H62" s="540" t="s">
        <v>153</v>
      </c>
      <c r="I62" s="541"/>
      <c r="J62" s="101">
        <f>V82</f>
        <v>0</v>
      </c>
      <c r="K62" s="102">
        <f>W82</f>
        <v>0</v>
      </c>
      <c r="M62" s="45" t="s">
        <v>145</v>
      </c>
      <c r="N62" s="1">
        <v>15</v>
      </c>
      <c r="O62" s="1">
        <v>20.25</v>
      </c>
      <c r="P62" s="59"/>
      <c r="Q62" s="44">
        <f t="shared" si="2"/>
        <v>0</v>
      </c>
      <c r="T62" s="104"/>
      <c r="U62" s="104"/>
      <c r="V62" s="104"/>
      <c r="W62" s="104"/>
    </row>
    <row r="63" spans="1:23" ht="15.75" customHeight="1" thickBot="1">
      <c r="A63" s="40"/>
      <c r="B63" s="45" t="s">
        <v>145</v>
      </c>
      <c r="C63" s="1">
        <v>5.6</v>
      </c>
      <c r="D63" s="1">
        <v>0.7</v>
      </c>
      <c r="E63" s="3"/>
      <c r="F63" s="56">
        <f t="shared" si="4"/>
        <v>0</v>
      </c>
      <c r="H63" s="552" t="s">
        <v>154</v>
      </c>
      <c r="I63" s="553"/>
      <c r="J63" s="105">
        <f>P84</f>
        <v>0</v>
      </c>
      <c r="K63" s="106">
        <f>Q84</f>
        <v>0</v>
      </c>
      <c r="M63" s="45" t="s">
        <v>145</v>
      </c>
      <c r="N63" s="107">
        <v>16</v>
      </c>
      <c r="O63" s="107">
        <v>24.6</v>
      </c>
      <c r="P63" s="108"/>
      <c r="Q63" s="44">
        <f>P63*O63</f>
        <v>0</v>
      </c>
      <c r="T63" s="86" t="s">
        <v>37</v>
      </c>
      <c r="U63" s="86" t="s">
        <v>22</v>
      </c>
      <c r="V63" s="86" t="s">
        <v>21</v>
      </c>
      <c r="W63" s="86" t="s">
        <v>32</v>
      </c>
    </row>
    <row r="64" spans="1:23" ht="15.75" customHeight="1" thickBot="1">
      <c r="B64" s="45" t="s">
        <v>145</v>
      </c>
      <c r="C64" s="1">
        <v>5.8</v>
      </c>
      <c r="D64" s="1">
        <v>0.8</v>
      </c>
      <c r="E64" s="3"/>
      <c r="F64" s="56">
        <f t="shared" si="4"/>
        <v>0</v>
      </c>
      <c r="H64" s="554" t="s">
        <v>32</v>
      </c>
      <c r="I64" s="554"/>
      <c r="J64" s="109">
        <f>SUM(J57:J63)</f>
        <v>0</v>
      </c>
      <c r="K64" s="110">
        <f>SUM(K57:K63)</f>
        <v>0</v>
      </c>
      <c r="M64" s="518" t="s">
        <v>35</v>
      </c>
      <c r="N64" s="518"/>
      <c r="O64" s="518"/>
      <c r="P64" s="215">
        <f>SUM(P9:P63)</f>
        <v>0</v>
      </c>
      <c r="Q64" s="111">
        <f>SUM(Q9:Q63)</f>
        <v>0</v>
      </c>
      <c r="T64" s="112" t="s">
        <v>285</v>
      </c>
      <c r="U64" s="113">
        <v>0.25</v>
      </c>
      <c r="V64" s="89"/>
      <c r="W64" s="52">
        <f>V64*U64</f>
        <v>0</v>
      </c>
    </row>
    <row r="65" spans="2:23" ht="15.75" customHeight="1" thickBot="1">
      <c r="B65" s="45" t="s">
        <v>145</v>
      </c>
      <c r="C65" s="1">
        <v>6</v>
      </c>
      <c r="D65" s="1">
        <v>0.9</v>
      </c>
      <c r="E65" s="3"/>
      <c r="F65" s="56">
        <f t="shared" si="4"/>
        <v>0</v>
      </c>
      <c r="T65" s="67" t="s">
        <v>286</v>
      </c>
      <c r="U65" s="4">
        <v>0.5</v>
      </c>
      <c r="V65" s="57"/>
      <c r="W65" s="52">
        <f t="shared" ref="W65:W80" si="6">V65*U65</f>
        <v>0</v>
      </c>
    </row>
    <row r="66" spans="2:23" ht="15.75" customHeight="1" thickBot="1">
      <c r="B66" s="45" t="s">
        <v>145</v>
      </c>
      <c r="C66" s="1">
        <v>6.2</v>
      </c>
      <c r="D66" s="1">
        <v>1</v>
      </c>
      <c r="E66" s="3"/>
      <c r="F66" s="56">
        <f t="shared" si="4"/>
        <v>0</v>
      </c>
      <c r="M66" s="114"/>
      <c r="N66" s="519" t="s">
        <v>154</v>
      </c>
      <c r="O66" s="520"/>
      <c r="P66" s="520"/>
      <c r="Q66" s="521"/>
      <c r="R66" s="114"/>
      <c r="T66" s="67" t="s">
        <v>287</v>
      </c>
      <c r="U66" s="4">
        <v>1</v>
      </c>
      <c r="V66" s="57"/>
      <c r="W66" s="52">
        <f t="shared" si="6"/>
        <v>0</v>
      </c>
    </row>
    <row r="67" spans="2:23" ht="15.75" customHeight="1" thickBot="1">
      <c r="B67" s="45" t="s">
        <v>145</v>
      </c>
      <c r="C67" s="1">
        <v>6.4</v>
      </c>
      <c r="D67" s="1">
        <v>1.05</v>
      </c>
      <c r="E67" s="3"/>
      <c r="F67" s="56">
        <f t="shared" si="4"/>
        <v>0</v>
      </c>
      <c r="M67" s="114"/>
      <c r="N67" s="29"/>
      <c r="O67" s="29"/>
      <c r="P67" s="29"/>
      <c r="Q67" s="29"/>
      <c r="R67" s="114"/>
      <c r="T67" s="67" t="s">
        <v>288</v>
      </c>
      <c r="U67" s="4">
        <v>1.5</v>
      </c>
      <c r="V67" s="57"/>
      <c r="W67" s="52">
        <f t="shared" si="6"/>
        <v>0</v>
      </c>
    </row>
    <row r="68" spans="2:23" ht="15.75" customHeight="1" thickBot="1">
      <c r="B68" s="45" t="s">
        <v>145</v>
      </c>
      <c r="C68" s="1">
        <v>6.5</v>
      </c>
      <c r="D68" s="1">
        <v>1.1000000000000001</v>
      </c>
      <c r="E68" s="3"/>
      <c r="F68" s="56">
        <f t="shared" si="4"/>
        <v>0</v>
      </c>
      <c r="M68" s="114"/>
      <c r="N68" s="86" t="s">
        <v>37</v>
      </c>
      <c r="O68" s="86" t="s">
        <v>22</v>
      </c>
      <c r="P68" s="86" t="s">
        <v>21</v>
      </c>
      <c r="Q68" s="86" t="s">
        <v>32</v>
      </c>
      <c r="R68" s="114"/>
      <c r="T68" s="67" t="s">
        <v>289</v>
      </c>
      <c r="U68" s="4">
        <v>2.5</v>
      </c>
      <c r="V68" s="57"/>
      <c r="W68" s="52">
        <f t="shared" si="6"/>
        <v>0</v>
      </c>
    </row>
    <row r="69" spans="2:23" ht="15.75" customHeight="1">
      <c r="B69" s="45" t="s">
        <v>145</v>
      </c>
      <c r="C69" s="1">
        <v>6.6</v>
      </c>
      <c r="D69" s="1">
        <v>1.1299999999999999</v>
      </c>
      <c r="E69" s="3"/>
      <c r="F69" s="56">
        <f t="shared" si="4"/>
        <v>0</v>
      </c>
      <c r="M69" s="114"/>
      <c r="N69" s="118" t="s">
        <v>290</v>
      </c>
      <c r="O69" s="119">
        <v>0.25</v>
      </c>
      <c r="P69" s="89"/>
      <c r="Q69" s="120">
        <f>P69*O69</f>
        <v>0</v>
      </c>
      <c r="R69" s="114"/>
      <c r="T69" s="67" t="s">
        <v>291</v>
      </c>
      <c r="U69" s="4">
        <v>3</v>
      </c>
      <c r="V69" s="57"/>
      <c r="W69" s="52">
        <f t="shared" si="6"/>
        <v>0</v>
      </c>
    </row>
    <row r="70" spans="2:23" ht="15.75" customHeight="1">
      <c r="B70" s="45" t="s">
        <v>145</v>
      </c>
      <c r="C70" s="1">
        <v>6.8</v>
      </c>
      <c r="D70" s="1">
        <v>1.17</v>
      </c>
      <c r="E70" s="3"/>
      <c r="F70" s="56">
        <f t="shared" si="4"/>
        <v>0</v>
      </c>
      <c r="M70" s="114"/>
      <c r="N70" s="67" t="s">
        <v>292</v>
      </c>
      <c r="O70" s="4">
        <v>0.33</v>
      </c>
      <c r="P70" s="57"/>
      <c r="Q70" s="121">
        <f t="shared" ref="Q70:Q83" si="7">P70*O70</f>
        <v>0</v>
      </c>
      <c r="R70" s="114"/>
      <c r="T70" s="67" t="s">
        <v>293</v>
      </c>
      <c r="U70" s="4">
        <v>4</v>
      </c>
      <c r="V70" s="57"/>
      <c r="W70" s="52">
        <f t="shared" si="6"/>
        <v>0</v>
      </c>
    </row>
    <row r="71" spans="2:23" ht="15.75" customHeight="1">
      <c r="B71" s="45" t="s">
        <v>145</v>
      </c>
      <c r="C71" s="1">
        <v>7</v>
      </c>
      <c r="D71" s="1">
        <v>1.25</v>
      </c>
      <c r="E71" s="3"/>
      <c r="F71" s="56">
        <f t="shared" si="4"/>
        <v>0</v>
      </c>
      <c r="M71" s="114"/>
      <c r="N71" s="67" t="s">
        <v>294</v>
      </c>
      <c r="O71" s="4">
        <v>0.5</v>
      </c>
      <c r="P71" s="57"/>
      <c r="Q71" s="121">
        <f t="shared" si="7"/>
        <v>0</v>
      </c>
      <c r="R71" s="114"/>
      <c r="T71" s="67" t="s">
        <v>295</v>
      </c>
      <c r="U71" s="4">
        <v>5</v>
      </c>
      <c r="V71" s="57"/>
      <c r="W71" s="52">
        <f t="shared" si="6"/>
        <v>0</v>
      </c>
    </row>
    <row r="72" spans="2:23" ht="15.75" customHeight="1">
      <c r="B72" s="45" t="s">
        <v>145</v>
      </c>
      <c r="C72" s="1">
        <v>7.2</v>
      </c>
      <c r="D72" s="1">
        <v>1.33</v>
      </c>
      <c r="E72" s="3"/>
      <c r="F72" s="56">
        <f t="shared" si="4"/>
        <v>0</v>
      </c>
      <c r="M72" s="114"/>
      <c r="N72" s="67" t="s">
        <v>287</v>
      </c>
      <c r="O72" s="4">
        <v>1</v>
      </c>
      <c r="P72" s="57"/>
      <c r="Q72" s="121">
        <f t="shared" si="7"/>
        <v>0</v>
      </c>
      <c r="R72" s="114"/>
      <c r="T72" s="67" t="s">
        <v>296</v>
      </c>
      <c r="U72" s="4">
        <v>6</v>
      </c>
      <c r="V72" s="57"/>
      <c r="W72" s="52">
        <f t="shared" si="6"/>
        <v>0</v>
      </c>
    </row>
    <row r="73" spans="2:23" ht="15.75" customHeight="1">
      <c r="B73" s="45" t="s">
        <v>145</v>
      </c>
      <c r="C73" s="1">
        <v>7.4</v>
      </c>
      <c r="D73" s="1">
        <v>1.5</v>
      </c>
      <c r="E73" s="3"/>
      <c r="F73" s="56">
        <f t="shared" si="4"/>
        <v>0</v>
      </c>
      <c r="M73" s="114"/>
      <c r="N73" s="67" t="s">
        <v>288</v>
      </c>
      <c r="O73" s="4">
        <v>1.5</v>
      </c>
      <c r="P73" s="57"/>
      <c r="Q73" s="121">
        <f t="shared" si="7"/>
        <v>0</v>
      </c>
      <c r="R73" s="114"/>
      <c r="T73" s="122" t="s">
        <v>297</v>
      </c>
      <c r="U73" s="4">
        <v>8</v>
      </c>
      <c r="V73" s="57"/>
      <c r="W73" s="52">
        <f t="shared" si="6"/>
        <v>0</v>
      </c>
    </row>
    <row r="74" spans="2:23" ht="15.75" customHeight="1">
      <c r="B74" s="45" t="s">
        <v>145</v>
      </c>
      <c r="C74" s="1">
        <v>7.6</v>
      </c>
      <c r="D74" s="1">
        <v>1.6</v>
      </c>
      <c r="E74" s="3"/>
      <c r="F74" s="123">
        <f t="shared" si="4"/>
        <v>0</v>
      </c>
      <c r="M74" s="114"/>
      <c r="N74" s="67" t="s">
        <v>289</v>
      </c>
      <c r="O74" s="4">
        <v>2.5</v>
      </c>
      <c r="P74" s="57"/>
      <c r="Q74" s="121">
        <f t="shared" si="7"/>
        <v>0</v>
      </c>
      <c r="R74" s="114"/>
      <c r="T74" s="67" t="s">
        <v>298</v>
      </c>
      <c r="U74" s="4">
        <v>10.5</v>
      </c>
      <c r="V74" s="57"/>
      <c r="W74" s="52">
        <f t="shared" si="6"/>
        <v>0</v>
      </c>
    </row>
    <row r="75" spans="2:23" ht="15.75" customHeight="1">
      <c r="B75" s="45" t="s">
        <v>145</v>
      </c>
      <c r="C75" s="1">
        <v>7.8</v>
      </c>
      <c r="D75" s="1">
        <v>1.75</v>
      </c>
      <c r="E75" s="3"/>
      <c r="F75" s="123">
        <f t="shared" si="4"/>
        <v>0</v>
      </c>
      <c r="M75" s="114"/>
      <c r="N75" s="67" t="s">
        <v>291</v>
      </c>
      <c r="O75" s="4">
        <v>3</v>
      </c>
      <c r="P75" s="57"/>
      <c r="Q75" s="121">
        <f t="shared" si="7"/>
        <v>0</v>
      </c>
      <c r="R75" s="114"/>
      <c r="T75" s="67" t="s">
        <v>299</v>
      </c>
      <c r="U75" s="4">
        <v>14.2</v>
      </c>
      <c r="V75" s="57"/>
      <c r="W75" s="52">
        <f t="shared" si="6"/>
        <v>0</v>
      </c>
    </row>
    <row r="76" spans="2:23" ht="15.75" customHeight="1">
      <c r="B76" s="45" t="s">
        <v>145</v>
      </c>
      <c r="C76" s="1">
        <v>8</v>
      </c>
      <c r="D76" s="1">
        <v>1.9</v>
      </c>
      <c r="E76" s="3"/>
      <c r="F76" s="123">
        <f t="shared" si="4"/>
        <v>0</v>
      </c>
      <c r="M76" s="114"/>
      <c r="N76" s="67" t="s">
        <v>293</v>
      </c>
      <c r="O76" s="4">
        <v>4</v>
      </c>
      <c r="P76" s="57"/>
      <c r="Q76" s="121">
        <f t="shared" si="7"/>
        <v>0</v>
      </c>
      <c r="R76" s="114"/>
      <c r="T76" s="67" t="s">
        <v>300</v>
      </c>
      <c r="U76" s="4">
        <v>20.3</v>
      </c>
      <c r="V76" s="57"/>
      <c r="W76" s="52">
        <f t="shared" si="6"/>
        <v>0</v>
      </c>
    </row>
    <row r="77" spans="2:23" ht="15.75" customHeight="1">
      <c r="B77" s="45" t="s">
        <v>145</v>
      </c>
      <c r="C77" s="1">
        <v>8.1999999999999993</v>
      </c>
      <c r="D77" s="1">
        <v>2</v>
      </c>
      <c r="E77" s="3"/>
      <c r="F77" s="123">
        <f t="shared" si="4"/>
        <v>0</v>
      </c>
      <c r="M77" s="114"/>
      <c r="N77" s="67" t="s">
        <v>295</v>
      </c>
      <c r="O77" s="4">
        <v>5</v>
      </c>
      <c r="P77" s="57"/>
      <c r="Q77" s="121">
        <f t="shared" si="7"/>
        <v>0</v>
      </c>
      <c r="R77" s="114"/>
      <c r="T77" s="67" t="s">
        <v>301</v>
      </c>
      <c r="U77" s="4">
        <v>23.5</v>
      </c>
      <c r="V77" s="57"/>
      <c r="W77" s="52">
        <f t="shared" si="6"/>
        <v>0</v>
      </c>
    </row>
    <row r="78" spans="2:23" ht="15.75" customHeight="1">
      <c r="B78" s="45" t="s">
        <v>145</v>
      </c>
      <c r="C78" s="1">
        <v>8.4</v>
      </c>
      <c r="D78" s="1">
        <v>2.15</v>
      </c>
      <c r="E78" s="3"/>
      <c r="F78" s="123">
        <f t="shared" si="4"/>
        <v>0</v>
      </c>
      <c r="M78" s="114"/>
      <c r="N78" s="67" t="s">
        <v>296</v>
      </c>
      <c r="O78" s="4">
        <v>6</v>
      </c>
      <c r="P78" s="57"/>
      <c r="Q78" s="121">
        <f t="shared" si="7"/>
        <v>0</v>
      </c>
      <c r="R78" s="114"/>
      <c r="T78" s="67" t="s">
        <v>302</v>
      </c>
      <c r="U78" s="4">
        <v>32.200000000000003</v>
      </c>
      <c r="V78" s="57"/>
      <c r="W78" s="52">
        <f t="shared" si="6"/>
        <v>0</v>
      </c>
    </row>
    <row r="79" spans="2:23" ht="15.75" customHeight="1">
      <c r="B79" s="45" t="s">
        <v>145</v>
      </c>
      <c r="C79" s="1">
        <v>8.6</v>
      </c>
      <c r="D79" s="1">
        <v>2.25</v>
      </c>
      <c r="E79" s="3"/>
      <c r="F79" s="123">
        <f t="shared" si="4"/>
        <v>0</v>
      </c>
      <c r="M79" s="114"/>
      <c r="N79" s="122" t="s">
        <v>297</v>
      </c>
      <c r="O79" s="4">
        <v>8</v>
      </c>
      <c r="P79" s="57"/>
      <c r="Q79" s="121">
        <f t="shared" si="7"/>
        <v>0</v>
      </c>
      <c r="R79" s="114"/>
      <c r="T79" s="67" t="s">
        <v>303</v>
      </c>
      <c r="U79" s="4">
        <v>43</v>
      </c>
      <c r="V79" s="57"/>
      <c r="W79" s="52">
        <f t="shared" si="6"/>
        <v>0</v>
      </c>
    </row>
    <row r="80" spans="2:23" ht="15.75" customHeight="1">
      <c r="B80" s="45" t="s">
        <v>145</v>
      </c>
      <c r="C80" s="1">
        <v>8.8000000000000007</v>
      </c>
      <c r="D80" s="1">
        <v>2.5</v>
      </c>
      <c r="E80" s="3"/>
      <c r="F80" s="123">
        <f t="shared" si="4"/>
        <v>0</v>
      </c>
      <c r="M80" s="114"/>
      <c r="N80" s="67" t="s">
        <v>298</v>
      </c>
      <c r="O80" s="4">
        <v>10.5</v>
      </c>
      <c r="P80" s="57"/>
      <c r="Q80" s="121">
        <f t="shared" si="7"/>
        <v>0</v>
      </c>
      <c r="R80" s="114"/>
      <c r="T80" s="67" t="s">
        <v>304</v>
      </c>
      <c r="U80" s="4">
        <v>58.5</v>
      </c>
      <c r="V80" s="57"/>
      <c r="W80" s="52">
        <f t="shared" si="6"/>
        <v>0</v>
      </c>
    </row>
    <row r="81" spans="2:23" ht="15.75" customHeight="1" thickBot="1">
      <c r="B81" s="45" t="s">
        <v>145</v>
      </c>
      <c r="C81" s="1">
        <v>9.1999999999999993</v>
      </c>
      <c r="D81" s="1">
        <v>2.85</v>
      </c>
      <c r="E81" s="3"/>
      <c r="F81" s="123">
        <f t="shared" si="4"/>
        <v>0</v>
      </c>
      <c r="M81" s="114"/>
      <c r="N81" s="67" t="s">
        <v>299</v>
      </c>
      <c r="O81" s="4">
        <v>14.2</v>
      </c>
      <c r="P81" s="57"/>
      <c r="Q81" s="121">
        <f t="shared" si="7"/>
        <v>0</v>
      </c>
      <c r="R81" s="114"/>
      <c r="T81" s="124" t="s">
        <v>305</v>
      </c>
      <c r="U81" s="80">
        <v>79.599999999999994</v>
      </c>
      <c r="V81" s="81"/>
      <c r="W81" s="52">
        <f>V81*U81</f>
        <v>0</v>
      </c>
    </row>
    <row r="82" spans="2:23" ht="15.75" customHeight="1" thickBot="1">
      <c r="B82" s="45" t="s">
        <v>145</v>
      </c>
      <c r="C82" s="1">
        <v>9.4</v>
      </c>
      <c r="D82" s="1">
        <v>3</v>
      </c>
      <c r="E82" s="3"/>
      <c r="F82" s="123">
        <f t="shared" si="4"/>
        <v>0</v>
      </c>
      <c r="M82" s="114"/>
      <c r="N82" s="67" t="s">
        <v>300</v>
      </c>
      <c r="O82" s="4">
        <v>20.3</v>
      </c>
      <c r="P82" s="57"/>
      <c r="Q82" s="121">
        <f t="shared" si="7"/>
        <v>0</v>
      </c>
      <c r="R82" s="114"/>
      <c r="T82" s="551" t="s">
        <v>153</v>
      </c>
      <c r="U82" s="551"/>
      <c r="V82" s="95">
        <f>SUM(V64:V81)</f>
        <v>0</v>
      </c>
      <c r="W82" s="125">
        <f>SUM(W64:W81)</f>
        <v>0</v>
      </c>
    </row>
    <row r="83" spans="2:23" ht="15.75" customHeight="1" thickBot="1">
      <c r="B83" s="45" t="s">
        <v>145</v>
      </c>
      <c r="C83" s="1">
        <v>9.6</v>
      </c>
      <c r="D83" s="1">
        <v>3.15</v>
      </c>
      <c r="E83" s="3"/>
      <c r="F83" s="123">
        <f t="shared" si="4"/>
        <v>0</v>
      </c>
      <c r="M83" s="114"/>
      <c r="N83" s="126" t="s">
        <v>303</v>
      </c>
      <c r="O83" s="127">
        <v>52.2</v>
      </c>
      <c r="P83" s="81"/>
      <c r="Q83" s="128">
        <f t="shared" si="7"/>
        <v>0</v>
      </c>
      <c r="R83" s="114"/>
    </row>
    <row r="84" spans="2:23" ht="15.75" customHeight="1" thickBot="1">
      <c r="B84" s="45" t="s">
        <v>145</v>
      </c>
      <c r="C84" s="1">
        <v>9.8000000000000007</v>
      </c>
      <c r="D84" s="1">
        <v>3.35</v>
      </c>
      <c r="E84" s="3"/>
      <c r="F84" s="123">
        <f t="shared" si="4"/>
        <v>0</v>
      </c>
      <c r="M84" s="114"/>
      <c r="N84" s="551" t="s">
        <v>154</v>
      </c>
      <c r="O84" s="551"/>
      <c r="P84" s="95">
        <f>SUM(P69:P83)</f>
        <v>0</v>
      </c>
      <c r="Q84" s="83">
        <f>SUM(Q69:Q83)</f>
        <v>0</v>
      </c>
      <c r="R84" s="114"/>
    </row>
    <row r="85" spans="2:23" ht="15.75" customHeight="1">
      <c r="B85" s="45" t="s">
        <v>145</v>
      </c>
      <c r="C85" s="1">
        <v>10</v>
      </c>
      <c r="D85" s="1">
        <v>3.5</v>
      </c>
      <c r="E85" s="3"/>
      <c r="F85" s="123">
        <f t="shared" si="4"/>
        <v>0</v>
      </c>
      <c r="M85" s="114"/>
      <c r="N85" s="114"/>
      <c r="O85" s="114"/>
      <c r="P85" s="114"/>
      <c r="Q85" s="114"/>
      <c r="R85" s="114"/>
    </row>
    <row r="86" spans="2:23" ht="15.75" customHeight="1">
      <c r="B86" s="45" t="s">
        <v>145</v>
      </c>
      <c r="C86" s="1">
        <v>10.199999999999999</v>
      </c>
      <c r="D86" s="1">
        <v>3.75</v>
      </c>
      <c r="E86" s="3"/>
      <c r="F86" s="123">
        <f>E86*D86</f>
        <v>0</v>
      </c>
      <c r="M86" s="114"/>
      <c r="N86" s="114"/>
      <c r="O86" s="114"/>
      <c r="P86" s="114"/>
      <c r="Q86" s="114"/>
      <c r="R86" s="114"/>
    </row>
    <row r="87" spans="2:23" ht="15.75" customHeight="1">
      <c r="B87" s="45" t="s">
        <v>145</v>
      </c>
      <c r="C87" s="1">
        <v>10.4</v>
      </c>
      <c r="D87" s="1">
        <v>4</v>
      </c>
      <c r="E87" s="3"/>
      <c r="F87" s="123">
        <f t="shared" ref="F87:F101" si="8">E87*D87</f>
        <v>0</v>
      </c>
      <c r="M87" s="114"/>
      <c r="N87" s="114"/>
      <c r="O87" s="114"/>
      <c r="P87" s="114"/>
      <c r="Q87" s="114"/>
      <c r="R87" s="114"/>
    </row>
    <row r="88" spans="2:23" ht="15.75" customHeight="1">
      <c r="B88" s="45" t="s">
        <v>145</v>
      </c>
      <c r="C88" s="1">
        <v>10.6</v>
      </c>
      <c r="D88" s="1">
        <v>4.25</v>
      </c>
      <c r="E88" s="3"/>
      <c r="F88" s="123">
        <f t="shared" si="8"/>
        <v>0</v>
      </c>
      <c r="M88" s="114"/>
      <c r="N88" s="114"/>
      <c r="O88" s="114"/>
      <c r="P88" s="114"/>
      <c r="Q88" s="114"/>
      <c r="R88" s="114"/>
    </row>
    <row r="89" spans="2:23">
      <c r="B89" s="45" t="s">
        <v>145</v>
      </c>
      <c r="C89" s="1">
        <v>10.8</v>
      </c>
      <c r="D89" s="1">
        <v>4.5</v>
      </c>
      <c r="E89" s="3"/>
      <c r="F89" s="123">
        <f t="shared" si="8"/>
        <v>0</v>
      </c>
      <c r="M89" s="114"/>
      <c r="N89" s="114"/>
      <c r="O89" s="114"/>
      <c r="P89" s="114"/>
      <c r="Q89" s="114"/>
      <c r="R89" s="114"/>
    </row>
    <row r="90" spans="2:23">
      <c r="B90" s="45" t="s">
        <v>145</v>
      </c>
      <c r="C90" s="1">
        <v>11</v>
      </c>
      <c r="D90" s="1">
        <v>4.75</v>
      </c>
      <c r="E90" s="3"/>
      <c r="F90" s="123">
        <f t="shared" si="8"/>
        <v>0</v>
      </c>
      <c r="M90" s="114"/>
      <c r="N90" s="114"/>
      <c r="O90" s="114"/>
      <c r="P90" s="114"/>
      <c r="Q90" s="114"/>
      <c r="R90" s="114"/>
    </row>
    <row r="91" spans="2:23">
      <c r="B91" s="45" t="s">
        <v>145</v>
      </c>
      <c r="C91" s="1">
        <v>11.2</v>
      </c>
      <c r="D91" s="1">
        <v>5</v>
      </c>
      <c r="E91" s="3"/>
      <c r="F91" s="123">
        <f t="shared" si="8"/>
        <v>0</v>
      </c>
      <c r="M91" s="114"/>
      <c r="N91" s="114"/>
      <c r="O91" s="114"/>
      <c r="P91" s="114"/>
      <c r="Q91" s="114"/>
      <c r="R91" s="114"/>
    </row>
    <row r="92" spans="2:23">
      <c r="B92" s="45" t="s">
        <v>145</v>
      </c>
      <c r="C92" s="1">
        <v>12</v>
      </c>
      <c r="D92" s="1">
        <v>6</v>
      </c>
      <c r="E92" s="3"/>
      <c r="F92" s="123">
        <f t="shared" si="8"/>
        <v>0</v>
      </c>
    </row>
    <row r="93" spans="2:23">
      <c r="B93" s="45" t="s">
        <v>145</v>
      </c>
      <c r="C93" s="1">
        <v>13</v>
      </c>
      <c r="D93" s="1">
        <v>7.75</v>
      </c>
      <c r="E93" s="3"/>
      <c r="F93" s="123">
        <f t="shared" si="8"/>
        <v>0</v>
      </c>
    </row>
    <row r="94" spans="2:23">
      <c r="B94" s="45" t="s">
        <v>145</v>
      </c>
      <c r="C94" s="1">
        <v>14</v>
      </c>
      <c r="D94" s="1">
        <v>9.65</v>
      </c>
      <c r="E94" s="3"/>
      <c r="F94" s="123">
        <f t="shared" si="8"/>
        <v>0</v>
      </c>
    </row>
    <row r="95" spans="2:23">
      <c r="B95" s="45" t="s">
        <v>145</v>
      </c>
      <c r="C95" s="1">
        <v>15</v>
      </c>
      <c r="D95" s="1">
        <v>11.85</v>
      </c>
      <c r="E95" s="3"/>
      <c r="F95" s="123">
        <f t="shared" si="8"/>
        <v>0</v>
      </c>
    </row>
    <row r="96" spans="2:23">
      <c r="B96" s="45" t="s">
        <v>145</v>
      </c>
      <c r="C96" s="1">
        <v>16</v>
      </c>
      <c r="D96" s="1">
        <v>14.35</v>
      </c>
      <c r="E96" s="3"/>
      <c r="F96" s="123">
        <f t="shared" si="8"/>
        <v>0</v>
      </c>
    </row>
    <row r="97" spans="2:6">
      <c r="B97" s="45" t="s">
        <v>145</v>
      </c>
      <c r="C97" s="1">
        <v>17</v>
      </c>
      <c r="D97" s="1">
        <v>17.25</v>
      </c>
      <c r="E97" s="3"/>
      <c r="F97" s="123">
        <f t="shared" si="8"/>
        <v>0</v>
      </c>
    </row>
    <row r="98" spans="2:6">
      <c r="B98" s="45" t="s">
        <v>145</v>
      </c>
      <c r="C98" s="1">
        <v>18</v>
      </c>
      <c r="D98" s="1">
        <v>20.5</v>
      </c>
      <c r="E98" s="3"/>
      <c r="F98" s="123">
        <f t="shared" si="8"/>
        <v>0</v>
      </c>
    </row>
    <row r="99" spans="2:6">
      <c r="B99" s="45" t="s">
        <v>145</v>
      </c>
      <c r="C99" s="1">
        <v>19</v>
      </c>
      <c r="D99" s="1">
        <v>24</v>
      </c>
      <c r="E99" s="3"/>
      <c r="F99" s="123">
        <f t="shared" si="8"/>
        <v>0</v>
      </c>
    </row>
    <row r="100" spans="2:6">
      <c r="B100" s="45" t="s">
        <v>145</v>
      </c>
      <c r="C100" s="1">
        <v>20</v>
      </c>
      <c r="D100" s="1">
        <v>28</v>
      </c>
      <c r="E100" s="3"/>
      <c r="F100" s="123">
        <f t="shared" si="8"/>
        <v>0</v>
      </c>
    </row>
    <row r="101" spans="2:6">
      <c r="B101" s="45" t="s">
        <v>145</v>
      </c>
      <c r="C101" s="1">
        <v>21</v>
      </c>
      <c r="D101" s="1">
        <v>34.799999999999997</v>
      </c>
      <c r="E101" s="3"/>
      <c r="F101" s="123">
        <f t="shared" si="8"/>
        <v>0</v>
      </c>
    </row>
    <row r="102" spans="2:6" ht="15.75" thickBot="1">
      <c r="B102" s="45" t="s">
        <v>145</v>
      </c>
      <c r="C102" s="115">
        <v>22</v>
      </c>
      <c r="D102" s="115">
        <v>41.8</v>
      </c>
      <c r="E102" s="116"/>
      <c r="F102" s="117">
        <f>E102*D102</f>
        <v>0</v>
      </c>
    </row>
    <row r="103" spans="2:6" ht="15.75" thickBot="1">
      <c r="B103" s="507" t="s">
        <v>33</v>
      </c>
      <c r="C103" s="507"/>
      <c r="D103" s="508"/>
      <c r="E103" s="129">
        <f>SUM(E9:E102)</f>
        <v>0</v>
      </c>
      <c r="F103" s="129">
        <f>SUM(F9:F102)</f>
        <v>0</v>
      </c>
    </row>
  </sheetData>
  <protectedRanges>
    <protectedRange sqref="P9:P63" name="Range3"/>
    <protectedRange sqref="E86:E102" name="Range1_2"/>
  </protectedRanges>
  <mergeCells count="25">
    <mergeCell ref="B103:D103"/>
    <mergeCell ref="H63:I63"/>
    <mergeCell ref="H64:I64"/>
    <mergeCell ref="M64:O64"/>
    <mergeCell ref="N66:Q66"/>
    <mergeCell ref="T82:U82"/>
    <mergeCell ref="N84:O84"/>
    <mergeCell ref="H59:I59"/>
    <mergeCell ref="S59:U59"/>
    <mergeCell ref="H60:I60"/>
    <mergeCell ref="H61:I61"/>
    <mergeCell ref="T61:W61"/>
    <mergeCell ref="H62:I62"/>
    <mergeCell ref="H58:I58"/>
    <mergeCell ref="E2:W3"/>
    <mergeCell ref="D5:E5"/>
    <mergeCell ref="B6:F6"/>
    <mergeCell ref="H6:K6"/>
    <mergeCell ref="M6:Q6"/>
    <mergeCell ref="S6:W6"/>
    <mergeCell ref="S36:U36"/>
    <mergeCell ref="S38:W38"/>
    <mergeCell ref="H46:I46"/>
    <mergeCell ref="H56:I56"/>
    <mergeCell ref="H57:I57"/>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306</v>
      </c>
      <c r="C2" s="204" t="s">
        <v>307</v>
      </c>
      <c r="D2" s="203" t="s">
        <v>308</v>
      </c>
      <c r="E2" s="203" t="s">
        <v>309</v>
      </c>
      <c r="F2" s="203" t="s">
        <v>310</v>
      </c>
      <c r="G2" s="203" t="s">
        <v>311</v>
      </c>
      <c r="H2" s="203" t="s">
        <v>312</v>
      </c>
      <c r="I2" s="203" t="s">
        <v>313</v>
      </c>
    </row>
    <row r="3" spans="2:9" ht="23.25" thickTop="1">
      <c r="B3" s="205" t="s">
        <v>314</v>
      </c>
      <c r="C3" s="205">
        <v>3</v>
      </c>
      <c r="D3" s="205" t="s">
        <v>315</v>
      </c>
      <c r="E3" s="205" t="s">
        <v>316</v>
      </c>
      <c r="F3" s="205">
        <v>4</v>
      </c>
      <c r="G3" s="205">
        <v>44</v>
      </c>
      <c r="H3" s="205">
        <v>4</v>
      </c>
      <c r="I3" s="205">
        <v>4</v>
      </c>
    </row>
    <row r="4" spans="2:9">
      <c r="B4" s="206" t="s">
        <v>317</v>
      </c>
      <c r="C4" s="206">
        <v>3.5</v>
      </c>
      <c r="D4" s="206" t="s">
        <v>318</v>
      </c>
      <c r="E4" s="206" t="s">
        <v>319</v>
      </c>
      <c r="F4" s="206" t="s">
        <v>319</v>
      </c>
      <c r="G4" s="206" t="s">
        <v>319</v>
      </c>
      <c r="H4" s="206" t="s">
        <v>320</v>
      </c>
      <c r="I4" s="206">
        <v>5</v>
      </c>
    </row>
    <row r="5" spans="2:9" ht="22.5">
      <c r="B5" s="205" t="s">
        <v>321</v>
      </c>
      <c r="C5" s="205">
        <v>4</v>
      </c>
      <c r="D5" s="205" t="s">
        <v>322</v>
      </c>
      <c r="E5" s="205" t="s">
        <v>323</v>
      </c>
      <c r="F5" s="205" t="s">
        <v>324</v>
      </c>
      <c r="G5" s="205">
        <v>46.5</v>
      </c>
      <c r="H5" s="205">
        <v>7</v>
      </c>
      <c r="I5" s="205">
        <v>7</v>
      </c>
    </row>
    <row r="6" spans="2:9" ht="22.5">
      <c r="B6" s="206" t="s">
        <v>325</v>
      </c>
      <c r="C6" s="206">
        <v>4.5</v>
      </c>
      <c r="D6" s="206" t="s">
        <v>326</v>
      </c>
      <c r="E6" s="206" t="s">
        <v>327</v>
      </c>
      <c r="F6" s="206">
        <v>8</v>
      </c>
      <c r="G6" s="206">
        <v>48</v>
      </c>
      <c r="H6" s="206">
        <v>8</v>
      </c>
      <c r="I6" s="206">
        <v>8</v>
      </c>
    </row>
    <row r="7" spans="2:9" ht="22.5">
      <c r="B7" s="205" t="s">
        <v>328</v>
      </c>
      <c r="C7" s="205">
        <v>5</v>
      </c>
      <c r="D7" s="205" t="s">
        <v>329</v>
      </c>
      <c r="E7" s="205" t="s">
        <v>330</v>
      </c>
      <c r="F7" s="205" t="s">
        <v>331</v>
      </c>
      <c r="G7" s="205">
        <v>49.5</v>
      </c>
      <c r="H7" s="205">
        <v>9</v>
      </c>
      <c r="I7" s="205">
        <v>9</v>
      </c>
    </row>
    <row r="8" spans="2:9" ht="22.5">
      <c r="B8" s="206" t="s">
        <v>332</v>
      </c>
      <c r="C8" s="206">
        <v>5.5</v>
      </c>
      <c r="D8" s="206" t="s">
        <v>333</v>
      </c>
      <c r="E8" s="206" t="s">
        <v>334</v>
      </c>
      <c r="F8" s="206" t="s">
        <v>335</v>
      </c>
      <c r="G8" s="206">
        <v>50.5</v>
      </c>
      <c r="H8" s="206">
        <v>10</v>
      </c>
      <c r="I8" s="206">
        <v>10</v>
      </c>
    </row>
    <row r="9" spans="2:9" ht="22.5">
      <c r="B9" s="205" t="s">
        <v>336</v>
      </c>
      <c r="C9" s="205">
        <v>6</v>
      </c>
      <c r="D9" s="205" t="s">
        <v>337</v>
      </c>
      <c r="E9" s="205" t="s">
        <v>338</v>
      </c>
      <c r="F9" s="205">
        <v>12</v>
      </c>
      <c r="G9" s="205">
        <v>52</v>
      </c>
      <c r="H9" s="205">
        <v>11</v>
      </c>
      <c r="I9" s="205">
        <v>11</v>
      </c>
    </row>
    <row r="10" spans="2:9" ht="22.5">
      <c r="B10" s="206" t="s">
        <v>339</v>
      </c>
      <c r="C10" s="206">
        <v>6.5</v>
      </c>
      <c r="D10" s="206" t="s">
        <v>340</v>
      </c>
      <c r="E10" s="206" t="s">
        <v>341</v>
      </c>
      <c r="F10" s="206" t="s">
        <v>342</v>
      </c>
      <c r="G10" s="206">
        <v>53</v>
      </c>
      <c r="H10" s="206" t="s">
        <v>343</v>
      </c>
      <c r="I10" s="206">
        <v>13</v>
      </c>
    </row>
    <row r="11" spans="2:9" ht="22.5">
      <c r="B11" s="205" t="s">
        <v>344</v>
      </c>
      <c r="C11" s="205">
        <v>7</v>
      </c>
      <c r="D11" s="205" t="s">
        <v>345</v>
      </c>
      <c r="E11" s="205" t="s">
        <v>346</v>
      </c>
      <c r="F11" s="205" t="s">
        <v>347</v>
      </c>
      <c r="G11" s="205">
        <v>54.5</v>
      </c>
      <c r="H11" s="205">
        <v>14</v>
      </c>
      <c r="I11" s="205">
        <v>14</v>
      </c>
    </row>
    <row r="12" spans="2:9" ht="22.5">
      <c r="B12" s="206" t="s">
        <v>348</v>
      </c>
      <c r="C12" s="206">
        <v>7.5</v>
      </c>
      <c r="D12" s="206" t="s">
        <v>349</v>
      </c>
      <c r="E12" s="206" t="s">
        <v>350</v>
      </c>
      <c r="F12" s="206">
        <v>16</v>
      </c>
      <c r="G12" s="206">
        <v>55.5</v>
      </c>
      <c r="H12" s="206">
        <v>15</v>
      </c>
      <c r="I12" s="206">
        <v>15</v>
      </c>
    </row>
    <row r="13" spans="2:9" ht="22.5">
      <c r="B13" s="205" t="s">
        <v>351</v>
      </c>
      <c r="C13" s="205">
        <v>8</v>
      </c>
      <c r="D13" s="205" t="s">
        <v>352</v>
      </c>
      <c r="E13" s="205" t="s">
        <v>353</v>
      </c>
      <c r="F13" s="205">
        <v>17</v>
      </c>
      <c r="G13" s="205">
        <v>57</v>
      </c>
      <c r="H13" s="205">
        <v>16</v>
      </c>
      <c r="I13" s="205">
        <v>16</v>
      </c>
    </row>
    <row r="14" spans="2:9" ht="22.5">
      <c r="B14" s="206" t="s">
        <v>354</v>
      </c>
      <c r="C14" s="206">
        <v>8.5</v>
      </c>
      <c r="D14" s="206" t="s">
        <v>355</v>
      </c>
      <c r="E14" s="206" t="s">
        <v>356</v>
      </c>
      <c r="F14" s="206" t="s">
        <v>357</v>
      </c>
      <c r="G14" s="206">
        <v>58</v>
      </c>
      <c r="H14" s="206" t="s">
        <v>358</v>
      </c>
      <c r="I14" s="206">
        <v>17</v>
      </c>
    </row>
    <row r="15" spans="2:9" ht="22.5">
      <c r="B15" s="205" t="s">
        <v>359</v>
      </c>
      <c r="C15" s="205">
        <v>9</v>
      </c>
      <c r="D15" s="205" t="s">
        <v>360</v>
      </c>
      <c r="E15" s="205" t="s">
        <v>361</v>
      </c>
      <c r="F15" s="205">
        <v>20</v>
      </c>
      <c r="G15" s="205">
        <v>59.5</v>
      </c>
      <c r="H15" s="205">
        <v>19</v>
      </c>
      <c r="I15" s="205">
        <v>18</v>
      </c>
    </row>
    <row r="16" spans="2:9" ht="22.5">
      <c r="B16" s="206" t="s">
        <v>362</v>
      </c>
      <c r="C16" s="206">
        <v>9.5</v>
      </c>
      <c r="D16" s="206" t="s">
        <v>363</v>
      </c>
      <c r="E16" s="206" t="s">
        <v>364</v>
      </c>
      <c r="F16" s="206">
        <v>21</v>
      </c>
      <c r="G16" s="206">
        <v>61</v>
      </c>
      <c r="H16" s="206">
        <v>20</v>
      </c>
      <c r="I16" s="206">
        <v>19</v>
      </c>
    </row>
    <row r="17" spans="2:9" ht="22.5">
      <c r="B17" s="205" t="s">
        <v>365</v>
      </c>
      <c r="C17" s="205">
        <v>10</v>
      </c>
      <c r="D17" s="205" t="s">
        <v>366</v>
      </c>
      <c r="E17" s="205" t="s">
        <v>367</v>
      </c>
      <c r="F17" s="205" t="s">
        <v>368</v>
      </c>
      <c r="G17" s="205">
        <v>62</v>
      </c>
      <c r="H17" s="205" t="s">
        <v>369</v>
      </c>
      <c r="I17" s="205">
        <v>20</v>
      </c>
    </row>
    <row r="18" spans="2:9" ht="22.5">
      <c r="B18" s="206" t="s">
        <v>370</v>
      </c>
      <c r="C18" s="206">
        <v>10.5</v>
      </c>
      <c r="D18" s="206" t="s">
        <v>371</v>
      </c>
      <c r="E18" s="206" t="s">
        <v>372</v>
      </c>
      <c r="F18" s="206" t="s">
        <v>373</v>
      </c>
      <c r="G18" s="206">
        <v>63.5</v>
      </c>
      <c r="H18" s="206">
        <v>23</v>
      </c>
      <c r="I18" s="206">
        <v>22</v>
      </c>
    </row>
    <row r="19" spans="2:9" ht="22.5">
      <c r="B19" s="205" t="s">
        <v>374</v>
      </c>
      <c r="C19" s="205">
        <v>11</v>
      </c>
      <c r="D19" s="205" t="s">
        <v>375</v>
      </c>
      <c r="E19" s="205" t="s">
        <v>376</v>
      </c>
      <c r="F19" s="205">
        <v>25</v>
      </c>
      <c r="G19" s="205">
        <v>64.5</v>
      </c>
      <c r="H19" s="205">
        <v>24</v>
      </c>
      <c r="I19" s="205">
        <v>23</v>
      </c>
    </row>
    <row r="20" spans="2:9" ht="22.5">
      <c r="B20" s="206" t="s">
        <v>377</v>
      </c>
      <c r="C20" s="206">
        <v>11.5</v>
      </c>
      <c r="D20" s="206" t="s">
        <v>378</v>
      </c>
      <c r="E20" s="206" t="s">
        <v>379</v>
      </c>
      <c r="F20" s="206">
        <v>26</v>
      </c>
      <c r="G20" s="206">
        <v>66</v>
      </c>
      <c r="H20" s="206">
        <v>25</v>
      </c>
      <c r="I20" s="206">
        <v>24</v>
      </c>
    </row>
    <row r="21" spans="2:9" ht="22.5">
      <c r="B21" s="205" t="s">
        <v>380</v>
      </c>
      <c r="C21" s="205">
        <v>12</v>
      </c>
      <c r="D21" s="205" t="s">
        <v>381</v>
      </c>
      <c r="E21" s="205" t="s">
        <v>382</v>
      </c>
      <c r="F21" s="205" t="s">
        <v>383</v>
      </c>
      <c r="G21" s="205">
        <v>67</v>
      </c>
      <c r="H21" s="205" t="s">
        <v>384</v>
      </c>
      <c r="I21" s="205">
        <v>25</v>
      </c>
    </row>
    <row r="22" spans="2:9" ht="22.5">
      <c r="B22" s="206" t="s">
        <v>385</v>
      </c>
      <c r="C22" s="206">
        <v>12.5</v>
      </c>
      <c r="D22" s="206" t="s">
        <v>386</v>
      </c>
      <c r="E22" s="206" t="s">
        <v>387</v>
      </c>
      <c r="F22" s="206">
        <v>29</v>
      </c>
      <c r="G22" s="206">
        <v>68.5</v>
      </c>
      <c r="H22" s="206">
        <v>28</v>
      </c>
      <c r="I22" s="206">
        <v>26</v>
      </c>
    </row>
    <row r="23" spans="2:9" ht="22.5">
      <c r="B23" s="205" t="s">
        <v>388</v>
      </c>
      <c r="C23" s="205">
        <v>13</v>
      </c>
      <c r="D23" s="205" t="s">
        <v>389</v>
      </c>
      <c r="E23" s="205" t="s">
        <v>390</v>
      </c>
      <c r="F23" s="205">
        <v>30</v>
      </c>
      <c r="G23" s="205">
        <v>69.5</v>
      </c>
      <c r="H23" s="205" t="s">
        <v>391</v>
      </c>
      <c r="I23" s="205">
        <v>27</v>
      </c>
    </row>
    <row r="24" spans="2:9" ht="22.5">
      <c r="B24" s="206" t="s">
        <v>392</v>
      </c>
      <c r="C24" s="206">
        <v>13.5</v>
      </c>
      <c r="D24" s="206" t="s">
        <v>393</v>
      </c>
      <c r="E24" s="206" t="s">
        <v>394</v>
      </c>
      <c r="F24" s="206">
        <v>32</v>
      </c>
      <c r="G24" s="206">
        <v>71</v>
      </c>
      <c r="H24" s="206">
        <v>32</v>
      </c>
      <c r="I24" s="206" t="s">
        <v>319</v>
      </c>
    </row>
    <row r="25" spans="2:9" ht="22.5">
      <c r="B25" s="205" t="s">
        <v>395</v>
      </c>
      <c r="C25" s="205">
        <v>14</v>
      </c>
      <c r="D25" s="205" t="s">
        <v>396</v>
      </c>
      <c r="E25" s="205" t="s">
        <v>397</v>
      </c>
      <c r="F25" s="205">
        <v>33</v>
      </c>
      <c r="G25" s="205">
        <v>72.5</v>
      </c>
      <c r="H25" s="205">
        <v>33</v>
      </c>
      <c r="I25" s="205" t="s">
        <v>319</v>
      </c>
    </row>
    <row r="26" spans="2:9" ht="22.5">
      <c r="B26" s="206" t="s">
        <v>398</v>
      </c>
      <c r="C26" s="206">
        <v>14.5</v>
      </c>
      <c r="D26" s="206" t="s">
        <v>399</v>
      </c>
      <c r="E26" s="206" t="s">
        <v>400</v>
      </c>
      <c r="F26" s="206" t="s">
        <v>401</v>
      </c>
      <c r="G26" s="206">
        <v>73.5</v>
      </c>
      <c r="H26" s="206" t="s">
        <v>319</v>
      </c>
      <c r="I26" s="206" t="s">
        <v>319</v>
      </c>
    </row>
    <row r="27" spans="2:9">
      <c r="B27" s="205"/>
      <c r="C27" s="205">
        <v>15</v>
      </c>
      <c r="D27" s="205" t="s">
        <v>402</v>
      </c>
      <c r="E27" s="205" t="s">
        <v>319</v>
      </c>
      <c r="F27" s="205">
        <v>35</v>
      </c>
      <c r="G27" s="205">
        <v>75</v>
      </c>
      <c r="H27" s="205">
        <v>35</v>
      </c>
      <c r="I27" s="205" t="s">
        <v>319</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61" t="s">
        <v>36</v>
      </c>
      <c r="B1" s="562"/>
      <c r="D1" s="555" t="s">
        <v>105</v>
      </c>
      <c r="E1" s="556"/>
      <c r="G1" s="555" t="s">
        <v>153</v>
      </c>
      <c r="H1" s="556"/>
      <c r="J1" s="555" t="s">
        <v>33</v>
      </c>
      <c r="K1" s="556"/>
      <c r="M1" s="555" t="s">
        <v>154</v>
      </c>
      <c r="N1" s="556"/>
      <c r="P1" s="555" t="s">
        <v>403</v>
      </c>
      <c r="R1" s="559" t="s">
        <v>35</v>
      </c>
    </row>
    <row r="2" spans="1:18" ht="15.75" thickBot="1">
      <c r="A2" s="563"/>
      <c r="B2" s="564"/>
      <c r="D2" s="557"/>
      <c r="E2" s="558"/>
      <c r="G2" s="557"/>
      <c r="H2" s="558"/>
      <c r="J2" s="557"/>
      <c r="K2" s="558"/>
      <c r="M2" s="557"/>
      <c r="N2" s="558"/>
      <c r="P2" s="557"/>
      <c r="R2" s="560"/>
    </row>
    <row r="3" spans="1:18" ht="15.75" thickBot="1">
      <c r="A3" s="460" t="s">
        <v>37</v>
      </c>
      <c r="B3" s="461" t="s">
        <v>22</v>
      </c>
      <c r="D3" s="131" t="s">
        <v>37</v>
      </c>
      <c r="E3" s="131" t="s">
        <v>22</v>
      </c>
      <c r="G3" s="131" t="s">
        <v>37</v>
      </c>
      <c r="H3" s="131" t="s">
        <v>22</v>
      </c>
      <c r="J3" s="131" t="s">
        <v>37</v>
      </c>
      <c r="K3" s="131" t="s">
        <v>22</v>
      </c>
      <c r="M3" s="131" t="s">
        <v>37</v>
      </c>
      <c r="N3" s="131" t="s">
        <v>22</v>
      </c>
      <c r="P3" s="131" t="s">
        <v>37</v>
      </c>
      <c r="R3" s="131" t="s">
        <v>37</v>
      </c>
    </row>
    <row r="4" spans="1:18">
      <c r="A4" s="462" t="s">
        <v>404</v>
      </c>
      <c r="B4" s="463"/>
      <c r="D4" s="132"/>
      <c r="E4" s="133"/>
      <c r="G4" s="349"/>
      <c r="H4" s="350"/>
      <c r="J4" s="411">
        <v>1</v>
      </c>
      <c r="K4" s="412"/>
      <c r="M4" s="401" t="s">
        <v>404</v>
      </c>
      <c r="N4" s="424"/>
      <c r="P4" s="401">
        <v>4</v>
      </c>
      <c r="R4" s="442">
        <v>1.5</v>
      </c>
    </row>
    <row r="5" spans="1:18">
      <c r="A5" s="462" t="s">
        <v>164</v>
      </c>
      <c r="B5" s="463"/>
      <c r="D5" s="401" t="s">
        <v>405</v>
      </c>
      <c r="E5" s="402"/>
      <c r="G5" s="401" t="s">
        <v>156</v>
      </c>
      <c r="H5" s="402"/>
      <c r="J5" s="411">
        <v>1.1000000000000001</v>
      </c>
      <c r="K5" s="412"/>
      <c r="M5" s="401" t="s">
        <v>164</v>
      </c>
      <c r="N5" s="428"/>
      <c r="P5" s="401">
        <v>6</v>
      </c>
      <c r="R5" s="427">
        <v>1.75</v>
      </c>
    </row>
    <row r="6" spans="1:18">
      <c r="A6" s="462" t="s">
        <v>25</v>
      </c>
      <c r="B6" s="463"/>
      <c r="D6" s="401" t="s">
        <v>406</v>
      </c>
      <c r="E6" s="402"/>
      <c r="G6" s="401" t="s">
        <v>407</v>
      </c>
      <c r="H6" s="402"/>
      <c r="J6" s="411">
        <v>1.2</v>
      </c>
      <c r="K6" s="412"/>
      <c r="M6" s="401" t="s">
        <v>25</v>
      </c>
      <c r="N6" s="428"/>
      <c r="P6" s="401">
        <v>7</v>
      </c>
      <c r="R6" s="427">
        <v>2</v>
      </c>
    </row>
    <row r="7" spans="1:18">
      <c r="A7" s="462" t="s">
        <v>408</v>
      </c>
      <c r="B7" s="463"/>
      <c r="D7" s="401" t="s">
        <v>409</v>
      </c>
      <c r="E7" s="402"/>
      <c r="G7" s="401" t="s">
        <v>221</v>
      </c>
      <c r="H7" s="402"/>
      <c r="J7" s="411">
        <v>1.3</v>
      </c>
      <c r="K7" s="412"/>
      <c r="M7" s="401" t="s">
        <v>408</v>
      </c>
      <c r="N7" s="428"/>
      <c r="P7" s="401">
        <v>8</v>
      </c>
      <c r="R7" s="442">
        <v>2.25</v>
      </c>
    </row>
    <row r="8" spans="1:18">
      <c r="A8" s="462" t="s">
        <v>410</v>
      </c>
      <c r="B8" s="463"/>
      <c r="D8" s="401" t="s">
        <v>141</v>
      </c>
      <c r="E8" s="402"/>
      <c r="G8" s="401" t="s">
        <v>411</v>
      </c>
      <c r="H8" s="402"/>
      <c r="J8" s="415">
        <v>1.4</v>
      </c>
      <c r="K8" s="402"/>
      <c r="M8" s="401" t="s">
        <v>410</v>
      </c>
      <c r="N8" s="428"/>
      <c r="P8" s="401">
        <v>9</v>
      </c>
      <c r="R8" s="442">
        <v>2.5</v>
      </c>
    </row>
    <row r="9" spans="1:18">
      <c r="A9" s="462" t="s">
        <v>412</v>
      </c>
      <c r="B9" s="463"/>
      <c r="D9" s="401" t="s">
        <v>413</v>
      </c>
      <c r="E9" s="402"/>
      <c r="G9" s="401" t="s">
        <v>414</v>
      </c>
      <c r="H9" s="402"/>
      <c r="J9" s="415">
        <v>1.5</v>
      </c>
      <c r="K9" s="402"/>
      <c r="M9" s="401" t="s">
        <v>412</v>
      </c>
      <c r="N9" s="428"/>
      <c r="P9" s="401">
        <v>10</v>
      </c>
      <c r="R9" s="442">
        <v>3</v>
      </c>
    </row>
    <row r="10" spans="1:18">
      <c r="A10" s="462" t="s">
        <v>415</v>
      </c>
      <c r="B10" s="463"/>
      <c r="D10" s="401" t="s">
        <v>416</v>
      </c>
      <c r="E10" s="402"/>
      <c r="G10" s="401" t="s">
        <v>163</v>
      </c>
      <c r="H10" s="402"/>
      <c r="J10" s="415">
        <v>1.6</v>
      </c>
      <c r="K10" s="402"/>
      <c r="M10" s="401" t="s">
        <v>415</v>
      </c>
      <c r="N10" s="428"/>
      <c r="P10" s="401">
        <v>11</v>
      </c>
      <c r="R10" s="442">
        <v>4</v>
      </c>
    </row>
    <row r="11" spans="1:18" ht="15.75" thickBot="1">
      <c r="A11" s="464" t="s">
        <v>167</v>
      </c>
      <c r="B11" s="465"/>
      <c r="D11" s="401" t="s">
        <v>417</v>
      </c>
      <c r="E11" s="402"/>
      <c r="G11" s="401" t="s">
        <v>165</v>
      </c>
      <c r="H11" s="402"/>
      <c r="J11" s="415">
        <v>1.7</v>
      </c>
      <c r="K11" s="402"/>
      <c r="M11" s="405" t="s">
        <v>167</v>
      </c>
      <c r="N11" s="428"/>
      <c r="P11" s="405">
        <v>12</v>
      </c>
    </row>
    <row r="12" spans="1:18" ht="18.75">
      <c r="A12" s="375"/>
      <c r="B12" s="375"/>
      <c r="C12" s="375"/>
      <c r="G12" s="405" t="s">
        <v>167</v>
      </c>
      <c r="H12" s="406"/>
      <c r="J12" s="415">
        <v>1.8</v>
      </c>
      <c r="K12" s="402"/>
      <c r="M12" s="430" t="s">
        <v>297</v>
      </c>
      <c r="N12" s="428"/>
    </row>
    <row r="13" spans="1:18" ht="15" customHeight="1">
      <c r="J13" s="415">
        <v>1.9</v>
      </c>
      <c r="K13" s="402"/>
      <c r="M13" s="427" t="s">
        <v>298</v>
      </c>
      <c r="N13" s="428"/>
    </row>
    <row r="14" spans="1:18" ht="15.75" customHeight="1">
      <c r="J14" s="415">
        <v>2</v>
      </c>
      <c r="K14" s="402"/>
      <c r="M14" s="427" t="s">
        <v>299</v>
      </c>
      <c r="N14" s="428"/>
    </row>
    <row r="15" spans="1:18">
      <c r="M15" s="427" t="s">
        <v>300</v>
      </c>
      <c r="N15" s="428"/>
    </row>
    <row r="16" spans="1:18">
      <c r="M16" s="431" t="s">
        <v>303</v>
      </c>
      <c r="N16" s="432"/>
    </row>
    <row r="18" spans="1:7" ht="15.75" thickBot="1"/>
    <row r="19" spans="1:7">
      <c r="A19" s="559" t="s">
        <v>418</v>
      </c>
      <c r="C19" s="559" t="s">
        <v>419</v>
      </c>
      <c r="E19" s="559" t="s">
        <v>420</v>
      </c>
      <c r="G19" s="555" t="s">
        <v>421</v>
      </c>
    </row>
    <row r="20" spans="1:7" ht="15.75" thickBot="1">
      <c r="A20" s="560"/>
      <c r="C20" s="560"/>
      <c r="E20" s="560"/>
      <c r="G20" s="557"/>
    </row>
    <row r="21" spans="1:7" ht="15.75" thickBot="1">
      <c r="A21" s="131" t="s">
        <v>37</v>
      </c>
      <c r="C21" s="131" t="s">
        <v>37</v>
      </c>
      <c r="E21" s="455" t="s">
        <v>37</v>
      </c>
      <c r="G21" s="131" t="s">
        <v>37</v>
      </c>
    </row>
    <row r="22" spans="1:7">
      <c r="A22" s="442" t="s">
        <v>422</v>
      </c>
      <c r="C22" s="442" t="s">
        <v>164</v>
      </c>
      <c r="E22" s="456" t="s">
        <v>65</v>
      </c>
      <c r="G22" s="442" t="s">
        <v>423</v>
      </c>
    </row>
    <row r="23" spans="1:7">
      <c r="A23" s="427" t="s">
        <v>424</v>
      </c>
      <c r="C23" s="427" t="s">
        <v>25</v>
      </c>
      <c r="E23" s="457" t="s">
        <v>405</v>
      </c>
      <c r="G23" s="454" t="s">
        <v>425</v>
      </c>
    </row>
    <row r="24" spans="1:7">
      <c r="A24" s="427" t="s">
        <v>412</v>
      </c>
      <c r="E24" s="457" t="s">
        <v>426</v>
      </c>
      <c r="G24" s="428" t="s">
        <v>427</v>
      </c>
    </row>
    <row r="25" spans="1:7" ht="15" customHeight="1">
      <c r="A25" s="442" t="s">
        <v>428</v>
      </c>
      <c r="E25" s="458" t="s">
        <v>429</v>
      </c>
      <c r="G25" s="453"/>
    </row>
    <row r="26" spans="1:7" ht="15.75" customHeight="1">
      <c r="E26" s="457" t="s">
        <v>406</v>
      </c>
    </row>
    <row r="27" spans="1:7">
      <c r="E27" s="458" t="s">
        <v>141</v>
      </c>
    </row>
    <row r="28" spans="1:7" ht="15.75" thickBot="1">
      <c r="E28" s="459" t="s">
        <v>416</v>
      </c>
    </row>
    <row r="30" spans="1:7" ht="15.75" thickBot="1"/>
    <row r="31" spans="1:7" ht="18.75">
      <c r="B31" s="377" t="s">
        <v>430</v>
      </c>
      <c r="C31" s="378" t="s">
        <v>431</v>
      </c>
      <c r="D31" s="379" t="s">
        <v>432</v>
      </c>
    </row>
    <row r="32" spans="1:7" ht="18.75">
      <c r="B32" s="380" t="s">
        <v>433</v>
      </c>
      <c r="C32" s="376" t="s">
        <v>434</v>
      </c>
      <c r="D32" s="381" t="s">
        <v>435</v>
      </c>
    </row>
    <row r="33" spans="2:4" ht="18.75">
      <c r="B33" s="380" t="s">
        <v>436</v>
      </c>
      <c r="C33" s="376" t="s">
        <v>437</v>
      </c>
      <c r="D33" s="381" t="s">
        <v>438</v>
      </c>
    </row>
    <row r="34" spans="2:4" ht="18.75">
      <c r="B34" s="380" t="s">
        <v>439</v>
      </c>
      <c r="C34" s="376" t="s">
        <v>440</v>
      </c>
      <c r="D34" s="381" t="s">
        <v>436</v>
      </c>
    </row>
    <row r="35" spans="2:4" ht="18.75">
      <c r="B35" s="380" t="s">
        <v>441</v>
      </c>
      <c r="C35" s="376" t="s">
        <v>442</v>
      </c>
      <c r="D35" s="381"/>
    </row>
    <row r="36" spans="2:4" ht="18.75">
      <c r="B36" s="380" t="s">
        <v>443</v>
      </c>
      <c r="C36" s="376" t="s">
        <v>444</v>
      </c>
      <c r="D36" s="381"/>
    </row>
    <row r="37" spans="2:4" ht="19.5" customHeight="1">
      <c r="B37" s="380" t="s">
        <v>445</v>
      </c>
      <c r="C37" s="376" t="s">
        <v>446</v>
      </c>
      <c r="D37" s="381"/>
    </row>
    <row r="38" spans="2:4" ht="18.75">
      <c r="B38" s="380" t="s">
        <v>447</v>
      </c>
      <c r="C38" s="376"/>
      <c r="D38" s="381"/>
    </row>
    <row r="39" spans="2:4" ht="19.5" thickBot="1">
      <c r="B39" s="382" t="s">
        <v>448</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A19:A20"/>
    <mergeCell ref="C19:C20"/>
    <mergeCell ref="E19:E20"/>
    <mergeCell ref="A1:B2"/>
    <mergeCell ref="D1:E2"/>
    <mergeCell ref="M1:N2"/>
    <mergeCell ref="J1:K2"/>
    <mergeCell ref="P1:P2"/>
    <mergeCell ref="R1:R2"/>
    <mergeCell ref="G19:G20"/>
    <mergeCell ref="G1:H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75" t="s">
        <v>449</v>
      </c>
      <c r="B1" s="576"/>
      <c r="C1" s="576"/>
      <c r="D1" s="576"/>
      <c r="E1" s="577"/>
      <c r="F1" s="578"/>
      <c r="L1" s="568"/>
      <c r="M1" s="568"/>
      <c r="N1" s="568"/>
      <c r="O1" s="568"/>
      <c r="P1" s="568"/>
      <c r="Q1" s="568"/>
    </row>
    <row r="2" spans="1:17" ht="24" customHeight="1" thickBot="1">
      <c r="A2" s="161" t="s">
        <v>450</v>
      </c>
      <c r="B2" s="162" t="s">
        <v>451</v>
      </c>
      <c r="C2" s="163" t="s">
        <v>452</v>
      </c>
      <c r="D2" s="164" t="s">
        <v>307</v>
      </c>
      <c r="E2" s="207" t="s">
        <v>308</v>
      </c>
      <c r="F2" s="165" t="s">
        <v>453</v>
      </c>
      <c r="L2" s="569" t="s">
        <v>454</v>
      </c>
      <c r="M2" s="570"/>
      <c r="N2" s="570"/>
      <c r="O2" s="570"/>
      <c r="P2" s="570"/>
      <c r="Q2" s="571"/>
    </row>
    <row r="3" spans="1:17" ht="20.100000000000001" customHeight="1" thickBot="1">
      <c r="A3" s="166">
        <v>1</v>
      </c>
      <c r="B3" s="167">
        <v>1</v>
      </c>
      <c r="C3" s="168">
        <v>13</v>
      </c>
      <c r="D3" s="169">
        <v>1</v>
      </c>
      <c r="E3" s="208"/>
      <c r="F3" s="170">
        <v>41</v>
      </c>
      <c r="L3" s="393" t="s">
        <v>455</v>
      </c>
      <c r="M3" s="394" t="s">
        <v>456</v>
      </c>
      <c r="N3" s="395" t="s">
        <v>457</v>
      </c>
      <c r="O3" s="394" t="s">
        <v>458</v>
      </c>
      <c r="P3" s="396" t="s">
        <v>459</v>
      </c>
      <c r="Q3" s="397" t="s">
        <v>460</v>
      </c>
    </row>
    <row r="4" spans="1:17" ht="20.100000000000001" customHeight="1">
      <c r="A4" s="171">
        <v>2</v>
      </c>
      <c r="B4" s="172">
        <v>2</v>
      </c>
      <c r="C4" s="173">
        <v>13.4</v>
      </c>
      <c r="D4" s="174">
        <v>2</v>
      </c>
      <c r="E4" s="209"/>
      <c r="F4" s="175">
        <v>42</v>
      </c>
      <c r="L4" s="392" t="s">
        <v>461</v>
      </c>
      <c r="M4" s="392" t="s">
        <v>462</v>
      </c>
      <c r="N4" s="392" t="s">
        <v>463</v>
      </c>
      <c r="O4" s="392" t="s">
        <v>463</v>
      </c>
      <c r="P4" s="398" t="s">
        <v>463</v>
      </c>
      <c r="Q4" s="392" t="s">
        <v>463</v>
      </c>
    </row>
    <row r="5" spans="1:17" ht="20.100000000000001" customHeight="1">
      <c r="A5" s="171">
        <v>3</v>
      </c>
      <c r="B5" s="172">
        <v>3</v>
      </c>
      <c r="C5" s="173">
        <v>13.7</v>
      </c>
      <c r="D5" s="174" t="s">
        <v>464</v>
      </c>
      <c r="E5" s="209"/>
      <c r="F5" s="175">
        <v>43</v>
      </c>
      <c r="L5" s="389">
        <v>1</v>
      </c>
      <c r="M5" s="385" t="s">
        <v>465</v>
      </c>
      <c r="N5" s="385" t="s">
        <v>463</v>
      </c>
      <c r="O5" s="385" t="s">
        <v>463</v>
      </c>
      <c r="P5" s="399">
        <v>1</v>
      </c>
      <c r="Q5" s="385" t="s">
        <v>463</v>
      </c>
    </row>
    <row r="6" spans="1:17" ht="20.100000000000001" customHeight="1">
      <c r="A6" s="171">
        <v>4</v>
      </c>
      <c r="B6" s="172">
        <v>4</v>
      </c>
      <c r="C6" s="173">
        <v>14</v>
      </c>
      <c r="D6" s="174">
        <v>3</v>
      </c>
      <c r="E6" s="209"/>
      <c r="F6" s="175">
        <v>44</v>
      </c>
      <c r="L6" s="385" t="s">
        <v>466</v>
      </c>
      <c r="M6" s="385" t="s">
        <v>467</v>
      </c>
      <c r="N6" s="385" t="s">
        <v>463</v>
      </c>
      <c r="O6" s="385" t="s">
        <v>463</v>
      </c>
      <c r="P6" s="400" t="s">
        <v>463</v>
      </c>
      <c r="Q6" s="385" t="s">
        <v>463</v>
      </c>
    </row>
    <row r="7" spans="1:17" ht="20.100000000000001" customHeight="1">
      <c r="A7" s="171">
        <v>5</v>
      </c>
      <c r="B7" s="172">
        <v>5</v>
      </c>
      <c r="C7" s="173">
        <v>14.3</v>
      </c>
      <c r="D7" s="174" t="s">
        <v>468</v>
      </c>
      <c r="E7" s="209"/>
      <c r="F7" s="175">
        <v>45</v>
      </c>
      <c r="L7" s="389">
        <v>2</v>
      </c>
      <c r="M7" s="385" t="s">
        <v>469</v>
      </c>
      <c r="N7" s="385" t="s">
        <v>470</v>
      </c>
      <c r="O7" s="385" t="s">
        <v>471</v>
      </c>
      <c r="P7" s="399">
        <v>2</v>
      </c>
      <c r="Q7" s="385" t="s">
        <v>466</v>
      </c>
    </row>
    <row r="8" spans="1:17" ht="20.100000000000001" customHeight="1" thickBot="1">
      <c r="A8" s="171">
        <v>6</v>
      </c>
      <c r="B8" s="172">
        <v>6</v>
      </c>
      <c r="C8" s="173">
        <v>14.6</v>
      </c>
      <c r="D8" s="174" t="s">
        <v>472</v>
      </c>
      <c r="E8" s="209"/>
      <c r="F8" s="175">
        <v>46</v>
      </c>
      <c r="L8" s="385" t="s">
        <v>473</v>
      </c>
      <c r="M8" s="390" t="s">
        <v>474</v>
      </c>
      <c r="N8" s="385" t="s">
        <v>475</v>
      </c>
      <c r="O8" s="385" t="s">
        <v>476</v>
      </c>
      <c r="P8" s="400" t="s">
        <v>463</v>
      </c>
      <c r="Q8" s="385" t="s">
        <v>463</v>
      </c>
    </row>
    <row r="9" spans="1:17" ht="20.100000000000001" customHeight="1">
      <c r="A9" s="171">
        <v>7</v>
      </c>
      <c r="B9" s="172">
        <v>7</v>
      </c>
      <c r="C9" s="173">
        <v>15</v>
      </c>
      <c r="D9" s="174">
        <v>4</v>
      </c>
      <c r="E9" s="209"/>
      <c r="F9" s="175">
        <v>47</v>
      </c>
      <c r="H9" s="179" t="s">
        <v>477</v>
      </c>
      <c r="I9" s="180">
        <v>52.3</v>
      </c>
      <c r="L9" s="385" t="s">
        <v>478</v>
      </c>
      <c r="M9" s="385" t="s">
        <v>479</v>
      </c>
      <c r="N9" s="385" t="s">
        <v>480</v>
      </c>
      <c r="O9" s="385" t="s">
        <v>481</v>
      </c>
      <c r="P9" s="399">
        <v>3</v>
      </c>
      <c r="Q9" s="385" t="s">
        <v>482</v>
      </c>
    </row>
    <row r="10" spans="1:17" ht="20.100000000000001" customHeight="1">
      <c r="A10" s="171">
        <v>8</v>
      </c>
      <c r="B10" s="172">
        <v>8</v>
      </c>
      <c r="C10" s="173">
        <v>15.3</v>
      </c>
      <c r="D10" s="174" t="s">
        <v>483</v>
      </c>
      <c r="E10" s="209"/>
      <c r="F10" s="175">
        <v>48</v>
      </c>
      <c r="H10" s="181" t="s">
        <v>484</v>
      </c>
      <c r="I10" s="182">
        <v>53.9</v>
      </c>
      <c r="L10" s="385" t="s">
        <v>482</v>
      </c>
      <c r="M10" s="390" t="s">
        <v>485</v>
      </c>
      <c r="N10" s="385" t="s">
        <v>486</v>
      </c>
      <c r="O10" s="385" t="s">
        <v>463</v>
      </c>
      <c r="P10" s="400" t="s">
        <v>463</v>
      </c>
      <c r="Q10" s="385" t="s">
        <v>487</v>
      </c>
    </row>
    <row r="11" spans="1:17" ht="20.100000000000001" customHeight="1">
      <c r="A11" s="171">
        <v>9</v>
      </c>
      <c r="B11" s="172">
        <v>9</v>
      </c>
      <c r="C11" s="173">
        <v>15.6</v>
      </c>
      <c r="D11" s="174">
        <v>5</v>
      </c>
      <c r="E11" s="209"/>
      <c r="F11" s="175">
        <v>49</v>
      </c>
      <c r="H11" s="183" t="s">
        <v>488</v>
      </c>
      <c r="I11" s="184">
        <v>55.5</v>
      </c>
      <c r="L11" s="389">
        <v>3</v>
      </c>
      <c r="M11" s="385" t="s">
        <v>315</v>
      </c>
      <c r="N11" s="389">
        <v>44</v>
      </c>
      <c r="O11" s="389">
        <v>14</v>
      </c>
      <c r="P11" s="399">
        <v>4</v>
      </c>
      <c r="Q11" s="389">
        <v>4</v>
      </c>
    </row>
    <row r="12" spans="1:17" ht="20.100000000000001" customHeight="1">
      <c r="A12" s="171">
        <v>10</v>
      </c>
      <c r="B12" s="172">
        <v>10</v>
      </c>
      <c r="C12" s="173">
        <v>15.9</v>
      </c>
      <c r="D12" s="174" t="s">
        <v>489</v>
      </c>
      <c r="E12" s="209"/>
      <c r="F12" s="175">
        <v>50</v>
      </c>
      <c r="H12" s="181" t="s">
        <v>490</v>
      </c>
      <c r="I12" s="182">
        <v>57.1</v>
      </c>
      <c r="L12" s="385" t="s">
        <v>491</v>
      </c>
      <c r="M12" s="390" t="s">
        <v>492</v>
      </c>
      <c r="N12" s="385" t="s">
        <v>493</v>
      </c>
      <c r="O12" s="385" t="s">
        <v>494</v>
      </c>
      <c r="P12" s="400" t="s">
        <v>463</v>
      </c>
      <c r="Q12" s="385" t="s">
        <v>495</v>
      </c>
    </row>
    <row r="13" spans="1:17" ht="20.100000000000001" customHeight="1">
      <c r="A13" s="171">
        <v>11</v>
      </c>
      <c r="B13" s="172">
        <v>11</v>
      </c>
      <c r="C13" s="176">
        <v>16.2</v>
      </c>
      <c r="D13" s="177" t="s">
        <v>496</v>
      </c>
      <c r="E13" s="210"/>
      <c r="F13" s="178">
        <v>51</v>
      </c>
      <c r="H13" s="183" t="s">
        <v>497</v>
      </c>
      <c r="I13" s="184">
        <v>58.7</v>
      </c>
      <c r="L13" s="385" t="s">
        <v>498</v>
      </c>
      <c r="M13" s="385" t="s">
        <v>318</v>
      </c>
      <c r="N13" s="385" t="s">
        <v>499</v>
      </c>
      <c r="O13" s="385" t="s">
        <v>500</v>
      </c>
      <c r="P13" s="399">
        <v>5</v>
      </c>
      <c r="Q13" s="385" t="s">
        <v>501</v>
      </c>
    </row>
    <row r="14" spans="1:17" ht="20.100000000000001" customHeight="1">
      <c r="A14" s="171">
        <v>12</v>
      </c>
      <c r="B14" s="172">
        <v>12</v>
      </c>
      <c r="C14" s="176">
        <v>16.5</v>
      </c>
      <c r="D14" s="177">
        <v>6</v>
      </c>
      <c r="E14" s="210" t="s">
        <v>337</v>
      </c>
      <c r="F14" s="178">
        <v>52</v>
      </c>
      <c r="H14" s="181" t="s">
        <v>502</v>
      </c>
      <c r="I14" s="182">
        <v>60.3</v>
      </c>
      <c r="L14" s="385" t="s">
        <v>503</v>
      </c>
      <c r="M14" s="390" t="s">
        <v>504</v>
      </c>
      <c r="N14" s="385" t="s">
        <v>505</v>
      </c>
      <c r="O14" s="385" t="s">
        <v>506</v>
      </c>
      <c r="P14" s="399">
        <v>6</v>
      </c>
      <c r="Q14" s="385" t="s">
        <v>507</v>
      </c>
    </row>
    <row r="15" spans="1:17" ht="20.100000000000001" customHeight="1">
      <c r="A15" s="171">
        <v>13</v>
      </c>
      <c r="B15" s="172">
        <v>13</v>
      </c>
      <c r="C15" s="176">
        <v>16.8</v>
      </c>
      <c r="D15" s="177" t="s">
        <v>508</v>
      </c>
      <c r="E15" s="210" t="s">
        <v>340</v>
      </c>
      <c r="F15" s="178">
        <v>53</v>
      </c>
      <c r="H15" s="183" t="s">
        <v>509</v>
      </c>
      <c r="I15" s="184">
        <v>61.9</v>
      </c>
      <c r="L15" s="389">
        <v>4</v>
      </c>
      <c r="M15" s="385" t="s">
        <v>322</v>
      </c>
      <c r="N15" s="385" t="s">
        <v>510</v>
      </c>
      <c r="O15" s="389">
        <v>15</v>
      </c>
      <c r="P15" s="399">
        <v>7</v>
      </c>
      <c r="Q15" s="385" t="s">
        <v>511</v>
      </c>
    </row>
    <row r="16" spans="1:17" ht="20.100000000000001" customHeight="1">
      <c r="A16" s="171">
        <v>14</v>
      </c>
      <c r="B16" s="439">
        <v>14</v>
      </c>
      <c r="C16" s="440">
        <v>17.2</v>
      </c>
      <c r="D16" s="441">
        <v>7</v>
      </c>
      <c r="E16" s="210" t="s">
        <v>345</v>
      </c>
      <c r="F16" s="178">
        <v>54</v>
      </c>
      <c r="H16" s="181" t="s">
        <v>512</v>
      </c>
      <c r="I16" s="182">
        <v>63.5</v>
      </c>
      <c r="L16" s="385" t="s">
        <v>513</v>
      </c>
      <c r="M16" s="390" t="s">
        <v>514</v>
      </c>
      <c r="N16" s="385" t="s">
        <v>515</v>
      </c>
      <c r="O16" s="385" t="s">
        <v>463</v>
      </c>
      <c r="P16" s="400" t="s">
        <v>463</v>
      </c>
      <c r="Q16" s="385" t="s">
        <v>516</v>
      </c>
    </row>
    <row r="17" spans="1:17" ht="20.100000000000001" customHeight="1" thickBot="1">
      <c r="A17" s="171">
        <v>15</v>
      </c>
      <c r="B17" s="172">
        <v>15</v>
      </c>
      <c r="C17" s="176">
        <v>17.5</v>
      </c>
      <c r="D17" s="177" t="s">
        <v>517</v>
      </c>
      <c r="E17" s="210"/>
      <c r="F17" s="178">
        <v>55</v>
      </c>
      <c r="H17" s="188" t="s">
        <v>518</v>
      </c>
      <c r="I17" s="189">
        <v>65.099999999999994</v>
      </c>
      <c r="L17" s="385" t="s">
        <v>519</v>
      </c>
      <c r="M17" s="385" t="s">
        <v>326</v>
      </c>
      <c r="N17" s="385" t="s">
        <v>520</v>
      </c>
      <c r="O17" s="385" t="s">
        <v>521</v>
      </c>
      <c r="P17" s="399">
        <v>8</v>
      </c>
      <c r="Q17" s="385" t="s">
        <v>522</v>
      </c>
    </row>
    <row r="18" spans="1:17" ht="20.100000000000001" customHeight="1">
      <c r="A18" s="171">
        <v>16</v>
      </c>
      <c r="B18" s="172">
        <v>16</v>
      </c>
      <c r="C18" s="176">
        <v>17.8</v>
      </c>
      <c r="D18" s="177" t="s">
        <v>523</v>
      </c>
      <c r="E18" s="210" t="s">
        <v>349</v>
      </c>
      <c r="F18" s="178">
        <v>56</v>
      </c>
      <c r="L18" s="385" t="s">
        <v>524</v>
      </c>
      <c r="M18" s="385" t="s">
        <v>329</v>
      </c>
      <c r="N18" s="385" t="s">
        <v>525</v>
      </c>
      <c r="O18" s="385" t="s">
        <v>526</v>
      </c>
      <c r="P18" s="400" t="s">
        <v>463</v>
      </c>
      <c r="Q18" s="385" t="s">
        <v>527</v>
      </c>
    </row>
    <row r="19" spans="1:17" ht="20.100000000000001" customHeight="1">
      <c r="A19" s="171">
        <v>17</v>
      </c>
      <c r="B19" s="172">
        <v>17</v>
      </c>
      <c r="C19" s="176">
        <v>18.100000000000001</v>
      </c>
      <c r="D19" s="177">
        <v>8</v>
      </c>
      <c r="E19" s="210" t="s">
        <v>352</v>
      </c>
      <c r="F19" s="178">
        <v>57</v>
      </c>
      <c r="L19" s="389">
        <v>5</v>
      </c>
      <c r="M19" s="390" t="s">
        <v>528</v>
      </c>
      <c r="N19" s="389">
        <v>49</v>
      </c>
      <c r="O19" s="385" t="s">
        <v>529</v>
      </c>
      <c r="P19" s="399">
        <v>9</v>
      </c>
      <c r="Q19" s="389">
        <v>9</v>
      </c>
    </row>
    <row r="20" spans="1:17" ht="20.100000000000001" customHeight="1" thickBot="1">
      <c r="A20" s="171">
        <v>18</v>
      </c>
      <c r="B20" s="172">
        <v>18</v>
      </c>
      <c r="C20" s="176">
        <v>18.399999999999999</v>
      </c>
      <c r="D20" s="177" t="s">
        <v>530</v>
      </c>
      <c r="E20" s="210"/>
      <c r="F20" s="178">
        <v>58</v>
      </c>
      <c r="L20" s="385" t="s">
        <v>501</v>
      </c>
      <c r="M20" s="385" t="s">
        <v>333</v>
      </c>
      <c r="N20" s="385" t="s">
        <v>531</v>
      </c>
      <c r="O20" s="389">
        <v>16</v>
      </c>
      <c r="P20" s="400" t="s">
        <v>463</v>
      </c>
      <c r="Q20" s="385" t="s">
        <v>532</v>
      </c>
    </row>
    <row r="21" spans="1:17" ht="20.100000000000001" customHeight="1">
      <c r="A21" s="171">
        <v>19</v>
      </c>
      <c r="B21" s="172">
        <v>19</v>
      </c>
      <c r="C21" s="176">
        <v>18.8</v>
      </c>
      <c r="D21" s="177" t="s">
        <v>533</v>
      </c>
      <c r="E21" s="210"/>
      <c r="F21" s="178">
        <v>59</v>
      </c>
      <c r="H21" s="565" t="s">
        <v>534</v>
      </c>
      <c r="I21" s="566"/>
      <c r="J21" s="567"/>
      <c r="L21" s="385" t="s">
        <v>535</v>
      </c>
      <c r="M21" s="390" t="s">
        <v>536</v>
      </c>
      <c r="N21" s="385" t="s">
        <v>537</v>
      </c>
      <c r="O21" s="385" t="s">
        <v>538</v>
      </c>
      <c r="P21" s="399">
        <v>10</v>
      </c>
      <c r="Q21" s="385" t="s">
        <v>539</v>
      </c>
    </row>
    <row r="22" spans="1:17" ht="20.100000000000001" customHeight="1">
      <c r="A22" s="171">
        <v>20</v>
      </c>
      <c r="B22" s="439">
        <v>20</v>
      </c>
      <c r="C22" s="440">
        <v>19.100000000000001</v>
      </c>
      <c r="D22" s="441">
        <v>9</v>
      </c>
      <c r="E22" s="210"/>
      <c r="F22" s="178">
        <v>60</v>
      </c>
      <c r="H22" s="579" t="s">
        <v>540</v>
      </c>
      <c r="I22" s="580"/>
      <c r="J22" s="581"/>
      <c r="L22" s="385" t="s">
        <v>541</v>
      </c>
      <c r="M22" s="385" t="s">
        <v>337</v>
      </c>
      <c r="N22" s="385" t="s">
        <v>542</v>
      </c>
      <c r="O22" s="385" t="s">
        <v>463</v>
      </c>
      <c r="P22" s="399">
        <v>11</v>
      </c>
      <c r="Q22" s="385" t="s">
        <v>543</v>
      </c>
    </row>
    <row r="23" spans="1:17" ht="20.100000000000001" customHeight="1">
      <c r="A23" s="171">
        <v>21</v>
      </c>
      <c r="B23" s="172">
        <v>21</v>
      </c>
      <c r="C23" s="185">
        <v>19.399999999999999</v>
      </c>
      <c r="D23" s="186" t="s">
        <v>544</v>
      </c>
      <c r="E23" s="211"/>
      <c r="F23" s="187">
        <v>61</v>
      </c>
      <c r="H23" s="579" t="s">
        <v>545</v>
      </c>
      <c r="I23" s="580"/>
      <c r="J23" s="581"/>
      <c r="L23" s="389">
        <v>6</v>
      </c>
      <c r="M23" s="390" t="s">
        <v>546</v>
      </c>
      <c r="N23" s="385" t="s">
        <v>547</v>
      </c>
      <c r="O23" s="385" t="s">
        <v>548</v>
      </c>
      <c r="P23" s="399">
        <v>12</v>
      </c>
      <c r="Q23" s="385" t="s">
        <v>549</v>
      </c>
    </row>
    <row r="24" spans="1:17" ht="20.100000000000001" customHeight="1">
      <c r="A24" s="171">
        <v>22</v>
      </c>
      <c r="B24" s="172">
        <v>22</v>
      </c>
      <c r="C24" s="185">
        <v>19.7</v>
      </c>
      <c r="D24" s="186">
        <v>10</v>
      </c>
      <c r="E24" s="211"/>
      <c r="F24" s="187">
        <v>62</v>
      </c>
      <c r="H24" s="579" t="s">
        <v>550</v>
      </c>
      <c r="I24" s="580"/>
      <c r="J24" s="581"/>
      <c r="L24" s="385" t="s">
        <v>551</v>
      </c>
      <c r="M24" s="385" t="s">
        <v>340</v>
      </c>
      <c r="N24" s="385" t="s">
        <v>552</v>
      </c>
      <c r="O24" s="385" t="s">
        <v>553</v>
      </c>
      <c r="P24" s="400" t="s">
        <v>463</v>
      </c>
      <c r="Q24" s="385" t="s">
        <v>554</v>
      </c>
    </row>
    <row r="25" spans="1:17" ht="20.100000000000001" customHeight="1" thickBot="1">
      <c r="A25" s="171">
        <v>23</v>
      </c>
      <c r="B25" s="172">
        <v>23</v>
      </c>
      <c r="C25" s="185">
        <v>20</v>
      </c>
      <c r="D25" s="186" t="s">
        <v>555</v>
      </c>
      <c r="E25" s="211"/>
      <c r="F25" s="187">
        <v>63</v>
      </c>
      <c r="H25" s="572" t="s">
        <v>556</v>
      </c>
      <c r="I25" s="573"/>
      <c r="J25" s="574"/>
      <c r="L25" s="385" t="s">
        <v>511</v>
      </c>
      <c r="M25" s="390" t="s">
        <v>557</v>
      </c>
      <c r="N25" s="385" t="s">
        <v>558</v>
      </c>
      <c r="O25" s="389">
        <v>17</v>
      </c>
      <c r="P25" s="399">
        <v>13</v>
      </c>
      <c r="Q25" s="385" t="s">
        <v>559</v>
      </c>
    </row>
    <row r="26" spans="1:17" ht="20.100000000000001" customHeight="1">
      <c r="A26" s="171">
        <v>24</v>
      </c>
      <c r="B26" s="172">
        <v>24</v>
      </c>
      <c r="C26" s="185">
        <v>20.3</v>
      </c>
      <c r="D26" s="186" t="s">
        <v>560</v>
      </c>
      <c r="E26" s="211"/>
      <c r="F26" s="187">
        <v>64</v>
      </c>
      <c r="H26" s="565" t="s">
        <v>561</v>
      </c>
      <c r="I26" s="566"/>
      <c r="J26" s="567"/>
      <c r="L26" s="385" t="s">
        <v>562</v>
      </c>
      <c r="M26" s="385" t="s">
        <v>345</v>
      </c>
      <c r="N26" s="385" t="s">
        <v>563</v>
      </c>
      <c r="O26" s="385" t="s">
        <v>463</v>
      </c>
      <c r="P26" s="400" t="s">
        <v>463</v>
      </c>
      <c r="Q26" s="385" t="s">
        <v>564</v>
      </c>
    </row>
    <row r="27" spans="1:17" ht="20.100000000000001" customHeight="1">
      <c r="A27" s="171">
        <v>25</v>
      </c>
      <c r="B27" s="172">
        <v>25</v>
      </c>
      <c r="C27" s="185">
        <v>20.6</v>
      </c>
      <c r="D27" s="186">
        <v>11</v>
      </c>
      <c r="E27" s="211"/>
      <c r="F27" s="187">
        <v>65</v>
      </c>
      <c r="L27" s="387">
        <v>7</v>
      </c>
      <c r="M27" s="388" t="s">
        <v>349</v>
      </c>
      <c r="N27" s="387">
        <v>54</v>
      </c>
      <c r="O27" s="388" t="s">
        <v>565</v>
      </c>
      <c r="P27" s="387">
        <v>14</v>
      </c>
      <c r="Q27" s="387">
        <v>14</v>
      </c>
    </row>
    <row r="28" spans="1:17" ht="20.100000000000001" customHeight="1">
      <c r="A28" s="171">
        <v>26</v>
      </c>
      <c r="B28" s="172">
        <v>26</v>
      </c>
      <c r="C28" s="185">
        <v>21</v>
      </c>
      <c r="D28" s="186" t="s">
        <v>566</v>
      </c>
      <c r="E28" s="211"/>
      <c r="F28" s="187">
        <v>66</v>
      </c>
      <c r="H28" s="466" t="s">
        <v>567</v>
      </c>
      <c r="I28" s="466"/>
      <c r="J28" s="466"/>
      <c r="L28" s="385" t="s">
        <v>568</v>
      </c>
      <c r="M28" s="390" t="s">
        <v>569</v>
      </c>
      <c r="N28" s="385" t="s">
        <v>570</v>
      </c>
      <c r="O28" s="385" t="s">
        <v>571</v>
      </c>
      <c r="P28" s="400" t="s">
        <v>463</v>
      </c>
      <c r="Q28" s="385" t="s">
        <v>572</v>
      </c>
    </row>
    <row r="29" spans="1:17" ht="20.100000000000001" customHeight="1">
      <c r="A29" s="171">
        <v>27</v>
      </c>
      <c r="B29" s="172">
        <v>27</v>
      </c>
      <c r="C29" s="185">
        <v>21.3</v>
      </c>
      <c r="D29" s="186">
        <v>12</v>
      </c>
      <c r="E29" s="211"/>
      <c r="F29" s="187">
        <v>67</v>
      </c>
      <c r="L29" s="385" t="s">
        <v>573</v>
      </c>
      <c r="M29" s="385" t="s">
        <v>352</v>
      </c>
      <c r="N29" s="385" t="s">
        <v>574</v>
      </c>
      <c r="O29" s="385" t="s">
        <v>575</v>
      </c>
      <c r="P29" s="399">
        <v>15</v>
      </c>
      <c r="Q29" s="385" t="s">
        <v>521</v>
      </c>
    </row>
    <row r="30" spans="1:17" ht="20.100000000000001" customHeight="1">
      <c r="A30" s="171">
        <v>28</v>
      </c>
      <c r="B30" s="172">
        <v>28</v>
      </c>
      <c r="C30" s="185">
        <v>21.6</v>
      </c>
      <c r="D30" s="186" t="s">
        <v>576</v>
      </c>
      <c r="E30" s="211"/>
      <c r="F30" s="187">
        <v>68</v>
      </c>
      <c r="H30" s="466" t="s">
        <v>577</v>
      </c>
      <c r="I30" s="466"/>
      <c r="J30" s="466"/>
      <c r="L30" s="385" t="s">
        <v>522</v>
      </c>
      <c r="M30" s="390" t="s">
        <v>578</v>
      </c>
      <c r="N30" s="385" t="s">
        <v>579</v>
      </c>
      <c r="O30" s="389">
        <v>18</v>
      </c>
      <c r="P30" s="400" t="s">
        <v>463</v>
      </c>
      <c r="Q30" s="385" t="s">
        <v>580</v>
      </c>
    </row>
    <row r="31" spans="1:17" ht="20.100000000000001" customHeight="1">
      <c r="A31" s="171">
        <v>29</v>
      </c>
      <c r="B31" s="172">
        <v>29</v>
      </c>
      <c r="C31" s="185">
        <v>22</v>
      </c>
      <c r="D31" s="186" t="s">
        <v>581</v>
      </c>
      <c r="E31" s="211"/>
      <c r="F31" s="187">
        <v>69</v>
      </c>
      <c r="L31" s="389">
        <v>8</v>
      </c>
      <c r="M31" s="385" t="s">
        <v>355</v>
      </c>
      <c r="N31" s="385" t="s">
        <v>582</v>
      </c>
      <c r="O31" s="385" t="s">
        <v>463</v>
      </c>
      <c r="P31" s="399">
        <v>16</v>
      </c>
      <c r="Q31" s="385" t="s">
        <v>548</v>
      </c>
    </row>
    <row r="32" spans="1:17" ht="20.100000000000001" customHeight="1">
      <c r="A32" s="171">
        <v>30</v>
      </c>
      <c r="B32" s="172">
        <v>30</v>
      </c>
      <c r="C32" s="185">
        <v>22.3</v>
      </c>
      <c r="D32" s="186">
        <v>13</v>
      </c>
      <c r="E32" s="211"/>
      <c r="F32" s="187">
        <v>70</v>
      </c>
      <c r="H32" s="466" t="s">
        <v>583</v>
      </c>
      <c r="I32" s="466"/>
      <c r="J32" s="466"/>
      <c r="L32" s="385" t="s">
        <v>584</v>
      </c>
      <c r="M32" s="390" t="s">
        <v>585</v>
      </c>
      <c r="N32" s="385" t="s">
        <v>586</v>
      </c>
      <c r="O32" s="385" t="s">
        <v>587</v>
      </c>
      <c r="P32" s="400" t="s">
        <v>463</v>
      </c>
      <c r="Q32" s="385" t="s">
        <v>588</v>
      </c>
    </row>
    <row r="33" spans="1:17" ht="20.100000000000001" customHeight="1">
      <c r="A33" s="171">
        <v>31</v>
      </c>
      <c r="B33" s="172">
        <v>31</v>
      </c>
      <c r="C33" s="190">
        <v>22.6</v>
      </c>
      <c r="D33" s="191" t="s">
        <v>589</v>
      </c>
      <c r="E33" s="212"/>
      <c r="F33" s="192">
        <v>71</v>
      </c>
      <c r="L33" s="385" t="s">
        <v>590</v>
      </c>
      <c r="M33" s="385" t="s">
        <v>360</v>
      </c>
      <c r="N33" s="385" t="s">
        <v>591</v>
      </c>
      <c r="O33" s="385" t="s">
        <v>592</v>
      </c>
      <c r="P33" s="399">
        <v>17</v>
      </c>
      <c r="Q33" s="385" t="s">
        <v>575</v>
      </c>
    </row>
    <row r="34" spans="1:17" ht="20.100000000000001" customHeight="1">
      <c r="A34" s="171">
        <v>32</v>
      </c>
      <c r="B34" s="172">
        <v>32</v>
      </c>
      <c r="C34" s="190">
        <v>22.9</v>
      </c>
      <c r="D34" s="191" t="s">
        <v>593</v>
      </c>
      <c r="E34" s="212"/>
      <c r="F34" s="192">
        <v>72</v>
      </c>
      <c r="H34" s="466" t="s">
        <v>594</v>
      </c>
      <c r="I34" s="466"/>
      <c r="J34" s="466"/>
      <c r="L34" s="385" t="s">
        <v>595</v>
      </c>
      <c r="M34" s="390" t="s">
        <v>596</v>
      </c>
      <c r="N34" s="385" t="s">
        <v>597</v>
      </c>
      <c r="O34" s="385" t="s">
        <v>598</v>
      </c>
      <c r="P34" s="400" t="s">
        <v>463</v>
      </c>
      <c r="Q34" s="385" t="s">
        <v>599</v>
      </c>
    </row>
    <row r="35" spans="1:17" ht="20.100000000000001" customHeight="1">
      <c r="A35" s="171">
        <v>33</v>
      </c>
      <c r="B35" s="172">
        <v>33</v>
      </c>
      <c r="C35" s="190">
        <v>23.2</v>
      </c>
      <c r="D35" s="191">
        <v>14</v>
      </c>
      <c r="E35" s="212"/>
      <c r="F35" s="192">
        <v>73</v>
      </c>
      <c r="L35" s="389">
        <v>9</v>
      </c>
      <c r="M35" s="385" t="s">
        <v>363</v>
      </c>
      <c r="N35" s="389">
        <v>59</v>
      </c>
      <c r="O35" s="389">
        <v>19</v>
      </c>
      <c r="P35" s="399">
        <v>18</v>
      </c>
      <c r="Q35" s="389">
        <v>19</v>
      </c>
    </row>
    <row r="36" spans="1:17" ht="20.100000000000001" customHeight="1">
      <c r="A36" s="171">
        <v>34</v>
      </c>
      <c r="B36" s="172">
        <v>34</v>
      </c>
      <c r="C36" s="190">
        <v>23.5</v>
      </c>
      <c r="D36" s="191" t="s">
        <v>600</v>
      </c>
      <c r="E36" s="212"/>
      <c r="F36" s="192">
        <v>74</v>
      </c>
      <c r="L36" s="385" t="s">
        <v>601</v>
      </c>
      <c r="M36" s="390" t="s">
        <v>602</v>
      </c>
      <c r="N36" s="385" t="s">
        <v>603</v>
      </c>
      <c r="O36" s="385" t="s">
        <v>604</v>
      </c>
      <c r="P36" s="400" t="s">
        <v>463</v>
      </c>
      <c r="Q36" s="385" t="s">
        <v>605</v>
      </c>
    </row>
    <row r="37" spans="1:17" ht="20.100000000000001" customHeight="1">
      <c r="A37" s="171">
        <v>35</v>
      </c>
      <c r="B37" s="172">
        <v>35</v>
      </c>
      <c r="C37" s="190">
        <v>23.9</v>
      </c>
      <c r="D37" s="191">
        <v>15</v>
      </c>
      <c r="E37" s="212"/>
      <c r="F37" s="192">
        <v>75</v>
      </c>
      <c r="L37" s="385" t="s">
        <v>606</v>
      </c>
      <c r="M37" s="385" t="s">
        <v>463</v>
      </c>
      <c r="N37" s="385" t="s">
        <v>607</v>
      </c>
      <c r="O37" s="385" t="s">
        <v>608</v>
      </c>
      <c r="P37" s="399">
        <v>19</v>
      </c>
      <c r="Q37" s="385" t="s">
        <v>609</v>
      </c>
    </row>
    <row r="38" spans="1:17" ht="20.100000000000001" customHeight="1" thickBot="1">
      <c r="A38" s="193">
        <v>36</v>
      </c>
      <c r="B38" s="194">
        <v>36</v>
      </c>
      <c r="C38" s="195">
        <v>24.2</v>
      </c>
      <c r="D38" s="196" t="s">
        <v>610</v>
      </c>
      <c r="E38" s="213"/>
      <c r="F38" s="197">
        <v>76</v>
      </c>
      <c r="L38" s="385" t="s">
        <v>611</v>
      </c>
      <c r="M38" s="385" t="s">
        <v>366</v>
      </c>
      <c r="N38" s="385" t="s">
        <v>612</v>
      </c>
      <c r="O38" s="385" t="s">
        <v>463</v>
      </c>
      <c r="P38" s="400" t="s">
        <v>463</v>
      </c>
      <c r="Q38" s="385" t="s">
        <v>613</v>
      </c>
    </row>
    <row r="39" spans="1:17">
      <c r="L39" s="387">
        <v>10</v>
      </c>
      <c r="M39" s="391" t="s">
        <v>614</v>
      </c>
      <c r="N39" s="388" t="s">
        <v>615</v>
      </c>
      <c r="O39" s="388" t="s">
        <v>616</v>
      </c>
      <c r="P39" s="399">
        <v>20</v>
      </c>
      <c r="Q39" s="388" t="s">
        <v>617</v>
      </c>
    </row>
    <row r="40" spans="1:17">
      <c r="L40" s="385" t="s">
        <v>539</v>
      </c>
      <c r="M40" s="385" t="s">
        <v>371</v>
      </c>
      <c r="N40" s="385" t="s">
        <v>618</v>
      </c>
      <c r="O40" s="389">
        <v>20</v>
      </c>
      <c r="P40" s="399">
        <v>21</v>
      </c>
      <c r="Q40" s="385" t="s">
        <v>619</v>
      </c>
    </row>
    <row r="41" spans="1:17">
      <c r="L41" s="385" t="s">
        <v>620</v>
      </c>
      <c r="M41" s="390" t="s">
        <v>621</v>
      </c>
      <c r="N41" s="385" t="s">
        <v>622</v>
      </c>
      <c r="O41" s="385" t="s">
        <v>463</v>
      </c>
      <c r="P41" s="399">
        <v>22</v>
      </c>
      <c r="Q41" s="385" t="s">
        <v>623</v>
      </c>
    </row>
    <row r="42" spans="1:17">
      <c r="L42" s="385" t="s">
        <v>624</v>
      </c>
      <c r="M42" s="385" t="s">
        <v>375</v>
      </c>
      <c r="N42" s="385" t="s">
        <v>625</v>
      </c>
      <c r="O42" s="385" t="s">
        <v>626</v>
      </c>
      <c r="P42" s="400" t="s">
        <v>463</v>
      </c>
      <c r="Q42" s="385" t="s">
        <v>627</v>
      </c>
    </row>
    <row r="43" spans="1:17">
      <c r="L43" s="389">
        <v>11</v>
      </c>
      <c r="M43" s="390" t="s">
        <v>628</v>
      </c>
      <c r="N43" s="389">
        <v>64</v>
      </c>
      <c r="O43" s="385" t="s">
        <v>629</v>
      </c>
      <c r="P43" s="399">
        <v>23</v>
      </c>
      <c r="Q43" s="389">
        <v>24</v>
      </c>
    </row>
    <row r="44" spans="1:17">
      <c r="L44" s="385" t="s">
        <v>630</v>
      </c>
      <c r="M44" s="385" t="s">
        <v>378</v>
      </c>
      <c r="N44" s="385" t="s">
        <v>631</v>
      </c>
      <c r="O44" s="385" t="s">
        <v>463</v>
      </c>
      <c r="P44" s="400" t="s">
        <v>463</v>
      </c>
      <c r="Q44" s="385" t="s">
        <v>632</v>
      </c>
    </row>
    <row r="45" spans="1:17">
      <c r="L45" s="385" t="s">
        <v>549</v>
      </c>
      <c r="M45" s="390" t="s">
        <v>633</v>
      </c>
      <c r="N45" s="385" t="s">
        <v>634</v>
      </c>
      <c r="O45" s="389">
        <v>21</v>
      </c>
      <c r="P45" s="399">
        <v>24</v>
      </c>
      <c r="Q45" s="385" t="s">
        <v>635</v>
      </c>
    </row>
    <row r="46" spans="1:17">
      <c r="L46" s="385" t="s">
        <v>636</v>
      </c>
      <c r="M46" s="385" t="s">
        <v>381</v>
      </c>
      <c r="N46" s="385" t="s">
        <v>637</v>
      </c>
      <c r="O46" s="385" t="s">
        <v>638</v>
      </c>
      <c r="P46" s="400" t="s">
        <v>463</v>
      </c>
      <c r="Q46" s="385" t="s">
        <v>639</v>
      </c>
    </row>
    <row r="47" spans="1:17">
      <c r="L47" s="389">
        <v>12</v>
      </c>
      <c r="M47" s="385" t="s">
        <v>386</v>
      </c>
      <c r="N47" s="385" t="s">
        <v>640</v>
      </c>
      <c r="O47" s="385" t="s">
        <v>617</v>
      </c>
      <c r="P47" s="399">
        <v>25</v>
      </c>
      <c r="Q47" s="385" t="s">
        <v>641</v>
      </c>
    </row>
    <row r="48" spans="1:17">
      <c r="L48" s="385" t="s">
        <v>642</v>
      </c>
      <c r="M48" s="390" t="s">
        <v>643</v>
      </c>
      <c r="N48" s="385" t="s">
        <v>644</v>
      </c>
      <c r="O48" s="385" t="s">
        <v>463</v>
      </c>
      <c r="P48" s="400" t="s">
        <v>463</v>
      </c>
      <c r="Q48" s="385" t="s">
        <v>645</v>
      </c>
    </row>
    <row r="49" spans="12:17">
      <c r="L49" s="385" t="s">
        <v>646</v>
      </c>
      <c r="M49" s="385" t="s">
        <v>389</v>
      </c>
      <c r="N49" s="385" t="s">
        <v>647</v>
      </c>
      <c r="O49" s="385" t="s">
        <v>648</v>
      </c>
      <c r="P49" s="399">
        <v>26</v>
      </c>
      <c r="Q49" s="385" t="s">
        <v>649</v>
      </c>
    </row>
    <row r="50" spans="12:17">
      <c r="L50" s="385" t="s">
        <v>559</v>
      </c>
      <c r="M50" s="390" t="s">
        <v>650</v>
      </c>
      <c r="N50" s="385" t="s">
        <v>651</v>
      </c>
      <c r="O50" s="385" t="s">
        <v>463</v>
      </c>
      <c r="P50" s="400" t="s">
        <v>463</v>
      </c>
      <c r="Q50" s="385" t="s">
        <v>652</v>
      </c>
    </row>
    <row r="51" spans="12:17">
      <c r="L51" s="389">
        <v>13</v>
      </c>
      <c r="M51" s="385" t="s">
        <v>463</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653</v>
      </c>
      <c r="C2" s="216" t="s">
        <v>654</v>
      </c>
      <c r="E2" s="216" t="s">
        <v>17</v>
      </c>
      <c r="F2" s="216" t="s">
        <v>654</v>
      </c>
      <c r="H2" s="216" t="s">
        <v>655</v>
      </c>
      <c r="I2" s="216" t="s">
        <v>654</v>
      </c>
      <c r="K2" s="216" t="s">
        <v>656</v>
      </c>
      <c r="L2" s="216" t="s">
        <v>654</v>
      </c>
      <c r="N2" s="216" t="s">
        <v>657</v>
      </c>
      <c r="O2" s="216" t="s">
        <v>654</v>
      </c>
      <c r="Q2" s="216" t="s">
        <v>658</v>
      </c>
      <c r="R2" s="216" t="s">
        <v>654</v>
      </c>
    </row>
    <row r="3" spans="2:18" ht="15.75" customHeight="1">
      <c r="B3" s="584" t="s">
        <v>659</v>
      </c>
      <c r="C3" s="582" t="s">
        <v>660</v>
      </c>
      <c r="E3" s="202" t="s">
        <v>33</v>
      </c>
      <c r="F3" s="202" t="s">
        <v>23</v>
      </c>
      <c r="H3" s="199" t="s">
        <v>661</v>
      </c>
      <c r="I3" s="199" t="s">
        <v>662</v>
      </c>
      <c r="K3" s="199" t="s">
        <v>663</v>
      </c>
      <c r="L3" s="199" t="s">
        <v>663</v>
      </c>
      <c r="N3" s="199" t="s">
        <v>664</v>
      </c>
      <c r="O3" s="200" t="s">
        <v>665</v>
      </c>
      <c r="Q3" s="217" t="s">
        <v>666</v>
      </c>
      <c r="R3" s="218" t="s">
        <v>667</v>
      </c>
    </row>
    <row r="4" spans="2:18" ht="21">
      <c r="B4" s="582"/>
      <c r="C4" s="582"/>
      <c r="E4" s="202" t="s">
        <v>153</v>
      </c>
      <c r="F4" s="202" t="s">
        <v>668</v>
      </c>
      <c r="H4" s="199" t="s">
        <v>669</v>
      </c>
      <c r="I4" s="199" t="s">
        <v>670</v>
      </c>
      <c r="K4" s="199" t="s">
        <v>671</v>
      </c>
      <c r="L4" s="199" t="s">
        <v>672</v>
      </c>
      <c r="N4" s="199" t="s">
        <v>673</v>
      </c>
      <c r="O4" s="199" t="s">
        <v>674</v>
      </c>
      <c r="Q4" s="217" t="s">
        <v>675</v>
      </c>
      <c r="R4" s="218" t="s">
        <v>676</v>
      </c>
    </row>
    <row r="5" spans="2:18" ht="15.75" customHeight="1">
      <c r="B5" s="584" t="s">
        <v>677</v>
      </c>
      <c r="C5" s="582" t="s">
        <v>467</v>
      </c>
      <c r="E5" s="202" t="s">
        <v>36</v>
      </c>
      <c r="F5" s="202" t="s">
        <v>678</v>
      </c>
      <c r="H5" s="200" t="s">
        <v>679</v>
      </c>
      <c r="I5" s="199" t="s">
        <v>680</v>
      </c>
      <c r="K5" s="199" t="s">
        <v>681</v>
      </c>
      <c r="L5" s="199" t="s">
        <v>682</v>
      </c>
      <c r="N5" s="200" t="s">
        <v>683</v>
      </c>
      <c r="O5" s="199" t="s">
        <v>684</v>
      </c>
      <c r="Q5" s="217" t="s">
        <v>685</v>
      </c>
      <c r="R5" s="218" t="s">
        <v>686</v>
      </c>
    </row>
    <row r="6" spans="2:18" ht="21">
      <c r="B6" s="582"/>
      <c r="C6" s="582"/>
      <c r="E6" s="202" t="s">
        <v>152</v>
      </c>
      <c r="F6" s="202" t="s">
        <v>687</v>
      </c>
      <c r="H6" s="199" t="s">
        <v>688</v>
      </c>
      <c r="I6" s="199" t="s">
        <v>689</v>
      </c>
      <c r="K6" s="199" t="s">
        <v>690</v>
      </c>
      <c r="L6" s="199" t="s">
        <v>691</v>
      </c>
      <c r="N6" s="199" t="s">
        <v>692</v>
      </c>
      <c r="O6" s="199" t="s">
        <v>693</v>
      </c>
      <c r="Q6" s="217" t="s">
        <v>694</v>
      </c>
      <c r="R6" s="218" t="s">
        <v>695</v>
      </c>
    </row>
    <row r="7" spans="2:18" ht="15.75" customHeight="1">
      <c r="B7" s="584" t="s">
        <v>696</v>
      </c>
      <c r="C7" s="582" t="s">
        <v>697</v>
      </c>
      <c r="E7" s="202" t="s">
        <v>698</v>
      </c>
      <c r="F7" s="202" t="s">
        <v>699</v>
      </c>
      <c r="H7" s="199" t="s">
        <v>700</v>
      </c>
      <c r="I7" s="199" t="s">
        <v>701</v>
      </c>
      <c r="K7" s="199" t="s">
        <v>702</v>
      </c>
      <c r="L7" s="199" t="s">
        <v>703</v>
      </c>
      <c r="N7" s="199" t="s">
        <v>704</v>
      </c>
      <c r="O7" s="199" t="s">
        <v>705</v>
      </c>
      <c r="Q7" s="217" t="s">
        <v>706</v>
      </c>
      <c r="R7" s="218" t="s">
        <v>707</v>
      </c>
    </row>
    <row r="8" spans="2:18" ht="21">
      <c r="B8" s="582"/>
      <c r="C8" s="582"/>
      <c r="E8" s="202" t="s">
        <v>708</v>
      </c>
      <c r="F8" s="202" t="s">
        <v>709</v>
      </c>
      <c r="H8" s="199" t="s">
        <v>710</v>
      </c>
      <c r="I8" s="199" t="s">
        <v>711</v>
      </c>
      <c r="K8" s="199" t="s">
        <v>712</v>
      </c>
      <c r="L8" s="199" t="s">
        <v>713</v>
      </c>
      <c r="N8" s="199" t="s">
        <v>714</v>
      </c>
      <c r="O8" s="199" t="s">
        <v>715</v>
      </c>
      <c r="Q8" s="217" t="s">
        <v>716</v>
      </c>
      <c r="R8" s="218" t="s">
        <v>717</v>
      </c>
    </row>
    <row r="9" spans="2:18" ht="21">
      <c r="E9" s="202" t="s">
        <v>127</v>
      </c>
      <c r="F9" s="202" t="s">
        <v>718</v>
      </c>
      <c r="H9" s="199" t="s">
        <v>719</v>
      </c>
      <c r="I9" s="199" t="s">
        <v>720</v>
      </c>
      <c r="K9" s="201" t="s">
        <v>721</v>
      </c>
      <c r="L9" s="199" t="s">
        <v>722</v>
      </c>
      <c r="N9" s="199" t="s">
        <v>723</v>
      </c>
      <c r="O9" s="199" t="s">
        <v>724</v>
      </c>
      <c r="Q9" s="217" t="s">
        <v>725</v>
      </c>
      <c r="R9" s="218" t="s">
        <v>726</v>
      </c>
    </row>
    <row r="10" spans="2:18" ht="21">
      <c r="E10" s="202" t="s">
        <v>727</v>
      </c>
      <c r="F10" s="202" t="s">
        <v>728</v>
      </c>
      <c r="H10" s="199" t="s">
        <v>729</v>
      </c>
      <c r="I10" s="199" t="s">
        <v>730</v>
      </c>
      <c r="K10" s="199" t="s">
        <v>731</v>
      </c>
      <c r="L10" s="199" t="s">
        <v>732</v>
      </c>
      <c r="N10" s="199" t="s">
        <v>733</v>
      </c>
      <c r="O10" s="199" t="s">
        <v>734</v>
      </c>
      <c r="Q10" s="217" t="s">
        <v>735</v>
      </c>
      <c r="R10" s="218" t="s">
        <v>736</v>
      </c>
    </row>
    <row r="11" spans="2:18" ht="21">
      <c r="E11" s="202" t="s">
        <v>737</v>
      </c>
      <c r="F11" s="202" t="s">
        <v>738</v>
      </c>
      <c r="H11" s="199" t="s">
        <v>739</v>
      </c>
      <c r="I11" s="199" t="s">
        <v>740</v>
      </c>
      <c r="K11" s="199" t="s">
        <v>741</v>
      </c>
      <c r="L11" s="199" t="s">
        <v>742</v>
      </c>
      <c r="Q11" s="217" t="s">
        <v>743</v>
      </c>
      <c r="R11" s="218" t="s">
        <v>744</v>
      </c>
    </row>
    <row r="12" spans="2:18" ht="21">
      <c r="E12" s="202" t="s">
        <v>745</v>
      </c>
      <c r="F12" s="202" t="s">
        <v>746</v>
      </c>
      <c r="H12" s="199" t="s">
        <v>747</v>
      </c>
      <c r="I12" s="199" t="s">
        <v>748</v>
      </c>
      <c r="K12" s="199" t="s">
        <v>749</v>
      </c>
      <c r="L12" s="199" t="s">
        <v>750</v>
      </c>
      <c r="Q12" s="217" t="s">
        <v>751</v>
      </c>
      <c r="R12" s="218" t="s">
        <v>752</v>
      </c>
    </row>
    <row r="13" spans="2:18" ht="21">
      <c r="E13" s="202" t="s">
        <v>753</v>
      </c>
      <c r="F13" s="202" t="s">
        <v>754</v>
      </c>
      <c r="H13" s="199" t="s">
        <v>755</v>
      </c>
      <c r="I13" s="199" t="s">
        <v>756</v>
      </c>
      <c r="K13" s="199" t="s">
        <v>757</v>
      </c>
      <c r="L13" s="199" t="s">
        <v>758</v>
      </c>
      <c r="Q13" s="217" t="s">
        <v>759</v>
      </c>
      <c r="R13" s="218" t="s">
        <v>760</v>
      </c>
    </row>
    <row r="14" spans="2:18" ht="21">
      <c r="E14" s="202" t="s">
        <v>761</v>
      </c>
      <c r="F14" s="202" t="s">
        <v>762</v>
      </c>
      <c r="H14" s="199" t="s">
        <v>763</v>
      </c>
      <c r="I14" s="199" t="s">
        <v>764</v>
      </c>
      <c r="K14" s="199" t="s">
        <v>765</v>
      </c>
      <c r="L14" s="199" t="s">
        <v>766</v>
      </c>
      <c r="Q14" s="217" t="s">
        <v>767</v>
      </c>
      <c r="R14" s="218" t="s">
        <v>768</v>
      </c>
    </row>
    <row r="15" spans="2:18" ht="21">
      <c r="E15" s="202" t="s">
        <v>769</v>
      </c>
      <c r="F15" s="202" t="s">
        <v>770</v>
      </c>
      <c r="H15" s="199" t="s">
        <v>771</v>
      </c>
      <c r="I15" s="199" t="s">
        <v>772</v>
      </c>
      <c r="K15" s="199" t="s">
        <v>773</v>
      </c>
      <c r="L15" s="199" t="s">
        <v>774</v>
      </c>
      <c r="Q15" s="217" t="s">
        <v>775</v>
      </c>
      <c r="R15" s="218" t="s">
        <v>776</v>
      </c>
    </row>
    <row r="16" spans="2:18" ht="21">
      <c r="E16" s="202" t="s">
        <v>777</v>
      </c>
      <c r="F16" s="202" t="s">
        <v>778</v>
      </c>
      <c r="K16" s="199" t="s">
        <v>154</v>
      </c>
      <c r="L16" s="199" t="s">
        <v>779</v>
      </c>
      <c r="Q16" s="217" t="s">
        <v>780</v>
      </c>
      <c r="R16" s="218" t="s">
        <v>781</v>
      </c>
    </row>
    <row r="17" spans="2:18" ht="21">
      <c r="E17" s="202" t="s">
        <v>782</v>
      </c>
      <c r="F17" s="202" t="s">
        <v>783</v>
      </c>
      <c r="K17" s="199" t="s">
        <v>784</v>
      </c>
      <c r="L17" s="199" t="s">
        <v>785</v>
      </c>
      <c r="Q17" s="217" t="s">
        <v>786</v>
      </c>
      <c r="R17" s="218" t="s">
        <v>787</v>
      </c>
    </row>
    <row r="18" spans="2:18" ht="21">
      <c r="E18" s="202" t="s">
        <v>788</v>
      </c>
      <c r="F18" s="202" t="s">
        <v>789</v>
      </c>
      <c r="K18" s="199" t="s">
        <v>790</v>
      </c>
      <c r="L18" s="199" t="s">
        <v>791</v>
      </c>
      <c r="Q18" s="217" t="s">
        <v>792</v>
      </c>
      <c r="R18" s="218" t="s">
        <v>793</v>
      </c>
    </row>
    <row r="19" spans="2:18" ht="21">
      <c r="E19" s="202" t="s">
        <v>794</v>
      </c>
      <c r="F19" s="202" t="s">
        <v>795</v>
      </c>
      <c r="K19" s="199" t="s">
        <v>796</v>
      </c>
      <c r="L19" s="199" t="s">
        <v>797</v>
      </c>
      <c r="Q19" s="217" t="s">
        <v>798</v>
      </c>
      <c r="R19" s="218" t="s">
        <v>799</v>
      </c>
    </row>
    <row r="20" spans="2:18" ht="21">
      <c r="E20" s="202" t="s">
        <v>800</v>
      </c>
      <c r="F20" s="202" t="s">
        <v>801</v>
      </c>
      <c r="K20" s="199" t="s">
        <v>802</v>
      </c>
      <c r="L20" s="199" t="s">
        <v>803</v>
      </c>
      <c r="Q20" s="217" t="s">
        <v>804</v>
      </c>
      <c r="R20" s="218" t="s">
        <v>805</v>
      </c>
    </row>
    <row r="21" spans="2:18" ht="21">
      <c r="E21" s="202" t="s">
        <v>806</v>
      </c>
      <c r="F21" s="202" t="s">
        <v>807</v>
      </c>
      <c r="K21" s="199" t="s">
        <v>808</v>
      </c>
      <c r="L21" s="199" t="s">
        <v>809</v>
      </c>
      <c r="Q21" s="217" t="s">
        <v>810</v>
      </c>
      <c r="R21" s="218" t="s">
        <v>811</v>
      </c>
    </row>
    <row r="22" spans="2:18" ht="21">
      <c r="E22" s="202" t="s">
        <v>812</v>
      </c>
      <c r="F22" s="202" t="s">
        <v>813</v>
      </c>
      <c r="Q22" s="217" t="s">
        <v>814</v>
      </c>
      <c r="R22" s="218" t="s">
        <v>815</v>
      </c>
    </row>
    <row r="23" spans="2:18" ht="21">
      <c r="E23" s="202" t="s">
        <v>816</v>
      </c>
      <c r="F23" s="202" t="s">
        <v>817</v>
      </c>
      <c r="Q23" s="217" t="s">
        <v>818</v>
      </c>
      <c r="R23" s="218" t="s">
        <v>819</v>
      </c>
    </row>
    <row r="24" spans="2:18">
      <c r="E24" s="202" t="s">
        <v>820</v>
      </c>
      <c r="F24" s="202" t="s">
        <v>418</v>
      </c>
    </row>
    <row r="25" spans="2:18">
      <c r="E25" s="202" t="s">
        <v>821</v>
      </c>
      <c r="F25" s="202" t="s">
        <v>419</v>
      </c>
    </row>
    <row r="26" spans="2:18">
      <c r="E26" s="202"/>
      <c r="F26" s="202"/>
    </row>
    <row r="27" spans="2:18">
      <c r="B27" s="583" t="s">
        <v>822</v>
      </c>
      <c r="C27" s="583"/>
      <c r="D27" s="583"/>
      <c r="E27" s="583"/>
      <c r="F27" s="583"/>
      <c r="H27" s="583" t="s">
        <v>823</v>
      </c>
      <c r="I27" s="583"/>
    </row>
    <row r="28" spans="2:18">
      <c r="B28" s="582" t="s">
        <v>663</v>
      </c>
      <c r="C28" s="582"/>
      <c r="D28" s="582" t="s">
        <v>824</v>
      </c>
      <c r="E28" s="582"/>
      <c r="F28" s="582"/>
      <c r="H28" s="582" t="s">
        <v>825</v>
      </c>
      <c r="I28" s="582"/>
    </row>
    <row r="29" spans="2:18">
      <c r="B29" s="582" t="s">
        <v>681</v>
      </c>
      <c r="C29" s="582"/>
      <c r="D29" s="582" t="s">
        <v>826</v>
      </c>
      <c r="E29" s="582"/>
      <c r="F29" s="582"/>
      <c r="H29" s="582" t="s">
        <v>827</v>
      </c>
      <c r="I29" s="582"/>
    </row>
    <row r="30" spans="2:18">
      <c r="B30" s="582" t="s">
        <v>671</v>
      </c>
      <c r="C30" s="582"/>
      <c r="D30" s="582" t="s">
        <v>828</v>
      </c>
      <c r="E30" s="582"/>
      <c r="F30" s="582"/>
      <c r="H30" s="582" t="s">
        <v>829</v>
      </c>
      <c r="I30" s="582"/>
    </row>
  </sheetData>
  <mergeCells count="17">
    <mergeCell ref="B3:B4"/>
    <mergeCell ref="C3:C4"/>
    <mergeCell ref="B5:B6"/>
    <mergeCell ref="C5:C6"/>
    <mergeCell ref="B7:B8"/>
    <mergeCell ref="C7:C8"/>
    <mergeCell ref="B30:C30"/>
    <mergeCell ref="D30:F30"/>
    <mergeCell ref="H30:I30"/>
    <mergeCell ref="B27:F27"/>
    <mergeCell ref="H27:I27"/>
    <mergeCell ref="B28:C28"/>
    <mergeCell ref="D28:F28"/>
    <mergeCell ref="H28:I28"/>
    <mergeCell ref="B29:C29"/>
    <mergeCell ref="D29:F29"/>
    <mergeCell ref="H29:I29"/>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87" t="s">
        <v>830</v>
      </c>
      <c r="C8" s="588"/>
      <c r="D8" s="589"/>
      <c r="E8" s="358"/>
      <c r="F8" s="587" t="s">
        <v>831</v>
      </c>
      <c r="G8" s="588"/>
      <c r="H8" s="589"/>
      <c r="J8" s="587" t="s">
        <v>832</v>
      </c>
      <c r="K8" s="588"/>
      <c r="L8" s="588"/>
      <c r="M8" s="589"/>
      <c r="O8" s="585" t="s">
        <v>833</v>
      </c>
      <c r="P8" s="586"/>
    </row>
    <row r="9" spans="1:16" ht="16.5" thickBot="1">
      <c r="B9" s="282" t="s">
        <v>834</v>
      </c>
      <c r="C9" s="308" t="s">
        <v>835</v>
      </c>
      <c r="D9" s="283" t="s">
        <v>836</v>
      </c>
      <c r="E9" s="359"/>
      <c r="F9" s="282" t="s">
        <v>834</v>
      </c>
      <c r="G9" s="308" t="s">
        <v>835</v>
      </c>
      <c r="H9" s="283" t="s">
        <v>836</v>
      </c>
      <c r="J9" s="288" t="s">
        <v>837</v>
      </c>
      <c r="K9" s="289" t="s">
        <v>838</v>
      </c>
      <c r="L9" s="289" t="s">
        <v>839</v>
      </c>
      <c r="M9" s="290" t="s">
        <v>840</v>
      </c>
      <c r="O9" s="304" t="s">
        <v>841</v>
      </c>
      <c r="P9" s="305" t="s">
        <v>842</v>
      </c>
    </row>
    <row r="10" spans="1:16">
      <c r="B10" s="278">
        <v>2</v>
      </c>
      <c r="C10" s="309">
        <v>1</v>
      </c>
      <c r="D10" s="299">
        <v>0.57999999999999996</v>
      </c>
      <c r="E10" s="357"/>
      <c r="F10" s="278">
        <v>3.2</v>
      </c>
      <c r="G10" s="309">
        <v>1</v>
      </c>
      <c r="H10" s="299">
        <v>1.4</v>
      </c>
      <c r="J10" s="285" t="s">
        <v>843</v>
      </c>
      <c r="K10" s="198" t="s">
        <v>844</v>
      </c>
      <c r="L10" s="198">
        <v>0.2</v>
      </c>
      <c r="M10" s="299">
        <f>L10/18*14</f>
        <v>0.15555555555555556</v>
      </c>
      <c r="O10" s="301"/>
      <c r="P10" s="300"/>
    </row>
    <row r="11" spans="1:16">
      <c r="B11" s="278">
        <v>2.5</v>
      </c>
      <c r="C11" s="309">
        <v>1</v>
      </c>
      <c r="D11" s="299">
        <v>0.86</v>
      </c>
      <c r="E11" s="357"/>
      <c r="F11" s="278" t="s">
        <v>845</v>
      </c>
      <c r="G11" s="309" t="s">
        <v>846</v>
      </c>
      <c r="H11" s="299" t="s">
        <v>847</v>
      </c>
      <c r="J11" s="285" t="s">
        <v>848</v>
      </c>
      <c r="K11" s="198" t="s">
        <v>844</v>
      </c>
      <c r="L11" s="198">
        <v>0.15</v>
      </c>
      <c r="M11" s="299">
        <f t="shared" ref="M11:M14" si="0">L11/18*14</f>
        <v>0.11666666666666667</v>
      </c>
      <c r="O11" s="301" t="s">
        <v>849</v>
      </c>
      <c r="P11" s="300">
        <v>12</v>
      </c>
    </row>
    <row r="12" spans="1:16">
      <c r="B12" s="278">
        <v>3</v>
      </c>
      <c r="C12" s="309">
        <v>1</v>
      </c>
      <c r="D12" s="299">
        <v>1.1399999999999999</v>
      </c>
      <c r="E12" s="357"/>
      <c r="F12" s="278"/>
      <c r="G12" s="309"/>
      <c r="H12" s="299"/>
      <c r="J12" s="285" t="s">
        <v>850</v>
      </c>
      <c r="K12" s="198" t="s">
        <v>851</v>
      </c>
      <c r="L12" s="198">
        <v>0.15</v>
      </c>
      <c r="M12" s="299">
        <f t="shared" si="0"/>
        <v>0.11666666666666667</v>
      </c>
      <c r="O12" s="301" t="s">
        <v>852</v>
      </c>
      <c r="P12" s="300">
        <v>13</v>
      </c>
    </row>
    <row r="13" spans="1:16" ht="16.5" thickBot="1">
      <c r="B13" s="280">
        <v>3.5</v>
      </c>
      <c r="C13" s="310">
        <v>1</v>
      </c>
      <c r="D13" s="307">
        <v>1.29</v>
      </c>
      <c r="E13" s="357"/>
      <c r="F13" s="280"/>
      <c r="G13" s="310"/>
      <c r="H13" s="307"/>
      <c r="J13" s="285" t="s">
        <v>853</v>
      </c>
      <c r="K13" s="198" t="s">
        <v>854</v>
      </c>
      <c r="L13" s="198">
        <v>0.25</v>
      </c>
      <c r="M13" s="299">
        <f t="shared" si="0"/>
        <v>0.19444444444444442</v>
      </c>
      <c r="O13" s="301"/>
      <c r="P13" s="300"/>
    </row>
    <row r="14" spans="1:16" ht="16.5" thickBot="1">
      <c r="A14" s="277" t="s">
        <v>855</v>
      </c>
      <c r="J14" s="286"/>
      <c r="K14" s="287"/>
      <c r="L14" s="287"/>
      <c r="M14" s="307">
        <f t="shared" si="0"/>
        <v>0</v>
      </c>
      <c r="O14" s="301"/>
      <c r="P14" s="306"/>
    </row>
    <row r="15" spans="1:16" ht="16.5" thickBot="1">
      <c r="O15" s="301"/>
      <c r="P15" s="306"/>
    </row>
    <row r="16" spans="1:16" ht="16.5" thickBot="1">
      <c r="B16" s="587" t="s">
        <v>9</v>
      </c>
      <c r="C16" s="588"/>
      <c r="D16" s="589"/>
      <c r="E16" s="358"/>
      <c r="F16" s="358"/>
      <c r="G16" s="358"/>
      <c r="H16" s="358"/>
      <c r="J16" s="590" t="s">
        <v>856</v>
      </c>
      <c r="K16" s="591"/>
      <c r="L16" s="591" t="s">
        <v>857</v>
      </c>
      <c r="M16" s="592"/>
      <c r="O16" s="302"/>
      <c r="P16" s="303"/>
    </row>
    <row r="17" spans="2:9" ht="16.5" thickBot="1">
      <c r="B17" s="282" t="s">
        <v>834</v>
      </c>
      <c r="C17" s="308"/>
      <c r="D17" s="283" t="s">
        <v>858</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94" t="s">
        <v>859</v>
      </c>
      <c r="C3" s="595"/>
      <c r="D3" s="595"/>
      <c r="E3" s="596"/>
      <c r="G3" s="601" t="s">
        <v>860</v>
      </c>
      <c r="H3" s="602"/>
      <c r="I3" s="602"/>
      <c r="J3" s="603"/>
    </row>
    <row r="4" spans="2:10" ht="15.75" thickBot="1">
      <c r="B4" s="597"/>
      <c r="C4" s="598"/>
      <c r="D4" s="598"/>
      <c r="E4" s="599"/>
      <c r="G4" s="604"/>
      <c r="H4" s="605"/>
      <c r="I4" s="605"/>
      <c r="J4" s="606"/>
    </row>
    <row r="5" spans="2:10" ht="15.75" thickBot="1">
      <c r="B5" s="311" t="s">
        <v>13</v>
      </c>
      <c r="C5" s="311" t="s">
        <v>861</v>
      </c>
      <c r="D5" s="311" t="s">
        <v>21</v>
      </c>
      <c r="E5" s="311" t="s">
        <v>32</v>
      </c>
      <c r="G5" s="321" t="s">
        <v>13</v>
      </c>
      <c r="H5" s="321" t="s">
        <v>861</v>
      </c>
      <c r="I5" s="321" t="s">
        <v>21</v>
      </c>
      <c r="J5" s="321" t="s">
        <v>32</v>
      </c>
    </row>
    <row r="6" spans="2:10">
      <c r="B6" s="312" t="s">
        <v>862</v>
      </c>
      <c r="C6" s="313">
        <v>13</v>
      </c>
      <c r="D6" s="314"/>
      <c r="E6" s="315"/>
      <c r="G6" s="322" t="s">
        <v>862</v>
      </c>
      <c r="H6" s="323">
        <v>13</v>
      </c>
      <c r="I6" s="324"/>
      <c r="J6" s="325"/>
    </row>
    <row r="7" spans="2:10">
      <c r="B7" s="312" t="s">
        <v>862</v>
      </c>
      <c r="C7" s="313">
        <v>10</v>
      </c>
      <c r="D7" s="314"/>
      <c r="E7" s="315"/>
      <c r="G7" s="322" t="s">
        <v>862</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863</v>
      </c>
      <c r="H14" s="338">
        <v>21.9</v>
      </c>
      <c r="I14" s="348"/>
      <c r="J14" s="340"/>
    </row>
    <row r="15" spans="2:10">
      <c r="B15" s="312"/>
      <c r="C15" s="353"/>
      <c r="D15" s="317"/>
      <c r="E15" s="318"/>
      <c r="G15" s="337" t="s">
        <v>863</v>
      </c>
      <c r="H15" s="354">
        <v>16</v>
      </c>
      <c r="I15" s="355"/>
      <c r="J15" s="356"/>
    </row>
    <row r="16" spans="2:10" ht="15.75" thickBot="1">
      <c r="B16" s="312"/>
      <c r="C16" s="316"/>
      <c r="D16" s="317"/>
      <c r="E16" s="318"/>
      <c r="G16" s="326"/>
      <c r="H16" s="327"/>
      <c r="I16" s="328"/>
      <c r="J16" s="329"/>
    </row>
    <row r="17" spans="2:10" ht="15.75" thickBot="1">
      <c r="B17" s="600" t="s">
        <v>36</v>
      </c>
      <c r="C17" s="600"/>
      <c r="D17" s="319">
        <f>SUM(D9:D16)</f>
        <v>0</v>
      </c>
      <c r="E17" s="320">
        <f>SUM(E9:E16)</f>
        <v>0</v>
      </c>
      <c r="G17" s="607" t="s">
        <v>36</v>
      </c>
      <c r="H17" s="607"/>
      <c r="I17" s="330">
        <f>SUM(I9:I16)</f>
        <v>0</v>
      </c>
      <c r="J17" s="331">
        <f>SUM(J9:J16)</f>
        <v>0</v>
      </c>
    </row>
    <row r="18" spans="2:10" ht="15.75" thickBot="1"/>
    <row r="19" spans="2:10">
      <c r="B19" s="608" t="s">
        <v>864</v>
      </c>
      <c r="C19" s="609"/>
      <c r="D19" s="609"/>
      <c r="E19" s="610"/>
    </row>
    <row r="20" spans="2:10" ht="15.75" thickBot="1">
      <c r="B20" s="611"/>
      <c r="C20" s="612"/>
      <c r="D20" s="612"/>
      <c r="E20" s="613"/>
    </row>
    <row r="21" spans="2:10" ht="15.75" thickBot="1">
      <c r="B21" s="332" t="s">
        <v>13</v>
      </c>
      <c r="C21" s="332" t="s">
        <v>865</v>
      </c>
      <c r="D21" s="332" t="s">
        <v>861</v>
      </c>
      <c r="E21" s="332"/>
    </row>
    <row r="22" spans="2:10">
      <c r="B22" s="333" t="s">
        <v>23</v>
      </c>
      <c r="C22" s="334" t="s">
        <v>866</v>
      </c>
      <c r="D22" s="334" t="s">
        <v>867</v>
      </c>
      <c r="E22" s="335"/>
    </row>
    <row r="23" spans="2:10">
      <c r="B23" s="333" t="s">
        <v>23</v>
      </c>
      <c r="C23" s="334" t="s">
        <v>868</v>
      </c>
      <c r="D23" s="336" t="s">
        <v>869</v>
      </c>
      <c r="E23" s="335"/>
    </row>
    <row r="24" spans="2:10">
      <c r="B24" s="333" t="s">
        <v>23</v>
      </c>
      <c r="C24" s="334" t="s">
        <v>870</v>
      </c>
      <c r="D24" s="336" t="s">
        <v>871</v>
      </c>
      <c r="E24" s="335"/>
    </row>
    <row r="25" spans="2:10">
      <c r="B25" s="333" t="s">
        <v>23</v>
      </c>
      <c r="C25" s="334" t="s">
        <v>872</v>
      </c>
      <c r="D25" s="336" t="s">
        <v>873</v>
      </c>
      <c r="E25" s="335"/>
    </row>
    <row r="26" spans="2:10">
      <c r="B26" s="337" t="s">
        <v>863</v>
      </c>
      <c r="C26" s="338" t="s">
        <v>874</v>
      </c>
      <c r="D26" s="339" t="s">
        <v>875</v>
      </c>
      <c r="E26" s="340"/>
    </row>
    <row r="27" spans="2:10">
      <c r="B27" s="337" t="s">
        <v>863</v>
      </c>
      <c r="C27" s="338" t="s">
        <v>874</v>
      </c>
      <c r="D27" s="339" t="s">
        <v>876</v>
      </c>
      <c r="E27" s="339" t="s">
        <v>876</v>
      </c>
    </row>
    <row r="28" spans="2:10">
      <c r="B28" s="333" t="s">
        <v>877</v>
      </c>
      <c r="C28" s="334" t="s">
        <v>878</v>
      </c>
      <c r="D28" s="341" t="s">
        <v>879</v>
      </c>
      <c r="E28" s="335"/>
    </row>
    <row r="29" spans="2:10">
      <c r="B29" s="333" t="s">
        <v>36</v>
      </c>
      <c r="C29" s="334" t="s">
        <v>880</v>
      </c>
      <c r="D29" s="341" t="s">
        <v>881</v>
      </c>
      <c r="E29" s="335"/>
    </row>
    <row r="30" spans="2:10">
      <c r="B30" s="333" t="s">
        <v>687</v>
      </c>
      <c r="C30" s="334" t="s">
        <v>868</v>
      </c>
      <c r="D30" s="334" t="s">
        <v>882</v>
      </c>
      <c r="E30" s="335"/>
    </row>
    <row r="31" spans="2:10">
      <c r="B31" s="333" t="s">
        <v>687</v>
      </c>
      <c r="C31" s="334" t="s">
        <v>868</v>
      </c>
      <c r="D31" s="341" t="s">
        <v>883</v>
      </c>
      <c r="E31" s="335"/>
    </row>
    <row r="32" spans="2:10">
      <c r="B32" s="333" t="s">
        <v>687</v>
      </c>
      <c r="C32" s="334" t="s">
        <v>884</v>
      </c>
      <c r="D32" s="341" t="s">
        <v>885</v>
      </c>
      <c r="E32" s="335"/>
    </row>
    <row r="33" spans="2:5">
      <c r="B33" s="333"/>
      <c r="C33" s="334"/>
      <c r="D33" s="341"/>
      <c r="E33" s="335"/>
    </row>
    <row r="34" spans="2:5" ht="15.75" thickBot="1">
      <c r="B34" s="342"/>
      <c r="C34" s="343"/>
      <c r="D34" s="344"/>
      <c r="E34" s="345"/>
    </row>
    <row r="35" spans="2:5" ht="15.75" thickBot="1">
      <c r="B35" s="593"/>
      <c r="C35" s="593"/>
      <c r="D35" s="346"/>
      <c r="E35" s="347"/>
    </row>
    <row r="1048576" spans="16384:16384">
      <c r="XFD1048576" t="s">
        <v>886</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55" t="s">
        <v>36</v>
      </c>
      <c r="B2" s="630" t="s">
        <v>887</v>
      </c>
      <c r="C2" s="631"/>
      <c r="D2" s="631"/>
      <c r="E2" s="632"/>
      <c r="F2" s="130"/>
      <c r="H2" s="555" t="s">
        <v>888</v>
      </c>
      <c r="I2" s="646" t="s">
        <v>888</v>
      </c>
      <c r="J2" s="647"/>
      <c r="K2" s="647"/>
      <c r="L2" s="648"/>
      <c r="O2" s="555" t="s">
        <v>418</v>
      </c>
      <c r="P2" s="614" t="s">
        <v>889</v>
      </c>
      <c r="Q2" s="615"/>
      <c r="R2" s="615"/>
      <c r="S2" s="616"/>
    </row>
    <row r="3" spans="1:19" ht="15.75" thickBot="1">
      <c r="A3" s="557"/>
      <c r="B3" s="633"/>
      <c r="C3" s="634"/>
      <c r="D3" s="634"/>
      <c r="E3" s="635"/>
      <c r="H3" s="557"/>
      <c r="I3" s="649"/>
      <c r="J3" s="650"/>
      <c r="K3" s="650"/>
      <c r="L3" s="651"/>
      <c r="O3" s="557"/>
      <c r="P3" s="617"/>
      <c r="Q3" s="618"/>
      <c r="R3" s="618"/>
      <c r="S3" s="619"/>
    </row>
    <row r="4" spans="1:19" ht="15.75" thickBot="1">
      <c r="B4" s="131" t="s">
        <v>37</v>
      </c>
      <c r="C4" s="131" t="s">
        <v>22</v>
      </c>
      <c r="D4" s="131" t="s">
        <v>890</v>
      </c>
      <c r="E4" s="131" t="s">
        <v>32</v>
      </c>
      <c r="I4" s="131" t="s">
        <v>37</v>
      </c>
      <c r="J4" s="131" t="s">
        <v>22</v>
      </c>
      <c r="K4" s="131" t="s">
        <v>890</v>
      </c>
      <c r="L4" s="131" t="s">
        <v>32</v>
      </c>
      <c r="P4" s="131" t="s">
        <v>37</v>
      </c>
      <c r="Q4" s="131" t="s">
        <v>22</v>
      </c>
      <c r="R4" s="131" t="s">
        <v>890</v>
      </c>
      <c r="S4" s="131" t="s">
        <v>32</v>
      </c>
    </row>
    <row r="5" spans="1:19">
      <c r="B5" s="401" t="s">
        <v>404</v>
      </c>
      <c r="C5" s="402">
        <v>0.25</v>
      </c>
      <c r="D5" s="403"/>
      <c r="E5" s="404"/>
      <c r="I5" s="401">
        <v>4</v>
      </c>
      <c r="J5" s="402"/>
      <c r="K5" s="403"/>
      <c r="L5" s="404"/>
      <c r="P5" s="442" t="s">
        <v>422</v>
      </c>
      <c r="Q5" s="424"/>
      <c r="R5" s="425"/>
      <c r="S5" s="426"/>
    </row>
    <row r="6" spans="1:19">
      <c r="B6" s="401" t="s">
        <v>164</v>
      </c>
      <c r="C6" s="402">
        <v>0.32</v>
      </c>
      <c r="D6" s="403"/>
      <c r="E6" s="404">
        <f t="shared" ref="E6:E12" si="0">D6*C6</f>
        <v>0</v>
      </c>
      <c r="G6" s="644"/>
      <c r="I6" s="401">
        <v>6</v>
      </c>
      <c r="J6" s="402"/>
      <c r="K6" s="403"/>
      <c r="L6" s="404"/>
      <c r="O6" s="114"/>
      <c r="P6" s="427" t="s">
        <v>424</v>
      </c>
      <c r="Q6" s="428"/>
      <c r="R6" s="409"/>
      <c r="S6" s="429"/>
    </row>
    <row r="7" spans="1:19">
      <c r="B7" s="401" t="s">
        <v>25</v>
      </c>
      <c r="C7" s="402">
        <v>0.62</v>
      </c>
      <c r="D7" s="403"/>
      <c r="E7" s="404">
        <f t="shared" si="0"/>
        <v>0</v>
      </c>
      <c r="G7" s="645"/>
      <c r="I7" s="401">
        <v>7</v>
      </c>
      <c r="J7" s="402"/>
      <c r="K7" s="403"/>
      <c r="L7" s="404"/>
      <c r="O7" s="114"/>
      <c r="P7" s="427" t="s">
        <v>412</v>
      </c>
      <c r="Q7" s="428"/>
      <c r="R7" s="409"/>
      <c r="S7" s="429"/>
    </row>
    <row r="8" spans="1:19">
      <c r="B8" s="401" t="s">
        <v>408</v>
      </c>
      <c r="C8" s="402">
        <v>1.06</v>
      </c>
      <c r="D8" s="403"/>
      <c r="E8" s="404">
        <f t="shared" si="0"/>
        <v>0</v>
      </c>
      <c r="G8" s="645"/>
      <c r="I8" s="401">
        <v>8</v>
      </c>
      <c r="J8" s="402"/>
      <c r="K8" s="403"/>
      <c r="L8" s="404"/>
      <c r="O8" s="114"/>
      <c r="P8" s="442" t="s">
        <v>428</v>
      </c>
      <c r="Q8" s="424"/>
      <c r="R8" s="425"/>
      <c r="S8" s="426"/>
    </row>
    <row r="9" spans="1:19">
      <c r="B9" s="401" t="s">
        <v>410</v>
      </c>
      <c r="C9" s="402">
        <v>1.38</v>
      </c>
      <c r="D9" s="403"/>
      <c r="E9" s="404">
        <f t="shared" si="0"/>
        <v>0</v>
      </c>
      <c r="G9" s="645"/>
      <c r="I9" s="401">
        <v>9</v>
      </c>
      <c r="J9" s="402"/>
      <c r="K9" s="403"/>
      <c r="L9" s="404"/>
    </row>
    <row r="10" spans="1:19" ht="15.75" thickBot="1">
      <c r="B10" s="401" t="s">
        <v>412</v>
      </c>
      <c r="C10" s="402">
        <v>2.1</v>
      </c>
      <c r="D10" s="403"/>
      <c r="E10" s="404">
        <f t="shared" si="0"/>
        <v>0</v>
      </c>
      <c r="G10" s="645"/>
      <c r="I10" s="401">
        <v>10</v>
      </c>
      <c r="J10" s="402"/>
      <c r="K10" s="403"/>
      <c r="L10" s="404"/>
    </row>
    <row r="11" spans="1:19">
      <c r="B11" s="401" t="s">
        <v>415</v>
      </c>
      <c r="C11" s="402">
        <v>3.02</v>
      </c>
      <c r="D11" s="403"/>
      <c r="E11" s="404">
        <f t="shared" si="0"/>
        <v>0</v>
      </c>
      <c r="G11" s="645"/>
      <c r="I11" s="401">
        <v>11</v>
      </c>
      <c r="J11" s="402"/>
      <c r="K11" s="403"/>
      <c r="L11" s="404"/>
      <c r="O11" s="555" t="s">
        <v>419</v>
      </c>
      <c r="P11" s="614" t="s">
        <v>891</v>
      </c>
      <c r="Q11" s="615"/>
      <c r="R11" s="615"/>
      <c r="S11" s="616"/>
    </row>
    <row r="12" spans="1:19" ht="15.75" thickBot="1">
      <c r="B12" s="405" t="s">
        <v>167</v>
      </c>
      <c r="C12" s="406">
        <v>4.7</v>
      </c>
      <c r="D12" s="407"/>
      <c r="E12" s="408">
        <f t="shared" si="0"/>
        <v>0</v>
      </c>
      <c r="G12" s="645"/>
      <c r="I12" s="405">
        <v>12</v>
      </c>
      <c r="J12" s="406"/>
      <c r="K12" s="407"/>
      <c r="L12" s="408"/>
      <c r="O12" s="557"/>
      <c r="P12" s="617"/>
      <c r="Q12" s="618"/>
      <c r="R12" s="618"/>
      <c r="S12" s="619"/>
    </row>
    <row r="13" spans="1:19" ht="15.75" thickBot="1">
      <c r="B13" s="621" t="s">
        <v>36</v>
      </c>
      <c r="C13" s="621"/>
      <c r="D13" s="140">
        <f>SUM(D6:D12)</f>
        <v>0</v>
      </c>
      <c r="E13" s="141">
        <f>SUM(E6:E12)</f>
        <v>0</v>
      </c>
      <c r="G13" s="645"/>
      <c r="I13" s="621" t="s">
        <v>36</v>
      </c>
      <c r="J13" s="621"/>
      <c r="K13" s="140">
        <f>SUM(K6:K12)</f>
        <v>0</v>
      </c>
      <c r="L13" s="141">
        <f>SUM(L6:L12)</f>
        <v>0</v>
      </c>
      <c r="P13" s="131" t="s">
        <v>37</v>
      </c>
      <c r="Q13" s="131" t="s">
        <v>22</v>
      </c>
      <c r="R13" s="131" t="s">
        <v>890</v>
      </c>
      <c r="S13" s="131" t="s">
        <v>32</v>
      </c>
    </row>
    <row r="14" spans="1:19">
      <c r="G14" s="645"/>
      <c r="P14" s="442" t="s">
        <v>164</v>
      </c>
      <c r="Q14" s="424"/>
      <c r="R14" s="425"/>
      <c r="S14" s="426"/>
    </row>
    <row r="15" spans="1:19" ht="15.75" thickBot="1">
      <c r="G15" s="644"/>
      <c r="O15" s="114"/>
      <c r="P15" s="427" t="s">
        <v>25</v>
      </c>
      <c r="Q15" s="428"/>
      <c r="R15" s="409"/>
      <c r="S15" s="429"/>
    </row>
    <row r="16" spans="1:19">
      <c r="A16" s="555" t="s">
        <v>105</v>
      </c>
      <c r="B16" s="630" t="s">
        <v>892</v>
      </c>
      <c r="C16" s="631"/>
      <c r="D16" s="631"/>
      <c r="E16" s="632"/>
      <c r="G16" s="645"/>
      <c r="H16" s="555" t="s">
        <v>893</v>
      </c>
      <c r="I16" s="646" t="s">
        <v>893</v>
      </c>
      <c r="J16" s="647"/>
      <c r="K16" s="647"/>
      <c r="L16" s="648"/>
      <c r="O16" s="114"/>
      <c r="P16" s="427"/>
      <c r="Q16" s="428"/>
      <c r="R16" s="409"/>
      <c r="S16" s="429"/>
    </row>
    <row r="17" spans="1:19" ht="15.75" thickBot="1">
      <c r="A17" s="557"/>
      <c r="B17" s="633"/>
      <c r="C17" s="634"/>
      <c r="D17" s="634"/>
      <c r="E17" s="635"/>
      <c r="G17" s="645"/>
      <c r="H17" s="557"/>
      <c r="I17" s="649"/>
      <c r="J17" s="650"/>
      <c r="K17" s="650"/>
      <c r="L17" s="651"/>
      <c r="O17" s="114"/>
      <c r="P17" s="442"/>
      <c r="Q17" s="424"/>
      <c r="R17" s="425"/>
      <c r="S17" s="426"/>
    </row>
    <row r="18" spans="1:19" ht="15.75" thickBot="1">
      <c r="B18" s="131" t="s">
        <v>37</v>
      </c>
      <c r="C18" s="131" t="s">
        <v>22</v>
      </c>
      <c r="D18" s="131" t="s">
        <v>890</v>
      </c>
      <c r="E18" s="131" t="s">
        <v>32</v>
      </c>
      <c r="G18" s="645"/>
      <c r="I18" s="131" t="s">
        <v>37</v>
      </c>
      <c r="J18" s="131" t="s">
        <v>22</v>
      </c>
      <c r="K18" s="131" t="s">
        <v>890</v>
      </c>
      <c r="L18" s="131" t="s">
        <v>32</v>
      </c>
    </row>
    <row r="19" spans="1:19">
      <c r="B19" s="132"/>
      <c r="C19" s="133"/>
      <c r="D19" s="134"/>
      <c r="E19" s="135"/>
      <c r="G19" s="645"/>
      <c r="I19" s="401">
        <v>4</v>
      </c>
      <c r="J19" s="402"/>
      <c r="K19" s="403"/>
      <c r="L19" s="404"/>
      <c r="O19" s="555" t="s">
        <v>709</v>
      </c>
      <c r="P19" s="614" t="s">
        <v>894</v>
      </c>
      <c r="Q19" s="615"/>
      <c r="R19" s="615"/>
      <c r="S19" s="616"/>
    </row>
    <row r="20" spans="1:19" ht="15.75" thickBot="1">
      <c r="B20" s="401" t="s">
        <v>405</v>
      </c>
      <c r="C20" s="402">
        <v>0.19</v>
      </c>
      <c r="D20" s="403"/>
      <c r="E20" s="404">
        <f t="shared" ref="E20:E27" si="1">D20*C20</f>
        <v>0</v>
      </c>
      <c r="G20" s="645"/>
      <c r="I20" s="401">
        <v>6</v>
      </c>
      <c r="J20" s="402"/>
      <c r="K20" s="403"/>
      <c r="L20" s="404"/>
      <c r="O20" s="557"/>
      <c r="P20" s="617"/>
      <c r="Q20" s="618"/>
      <c r="R20" s="618"/>
      <c r="S20" s="619"/>
    </row>
    <row r="21" spans="1:19" ht="15" customHeight="1" thickBot="1">
      <c r="B21" s="401" t="s">
        <v>406</v>
      </c>
      <c r="C21" s="402">
        <v>0.24</v>
      </c>
      <c r="D21" s="403"/>
      <c r="E21" s="404">
        <f t="shared" si="1"/>
        <v>0</v>
      </c>
      <c r="G21" s="645"/>
      <c r="I21" s="401">
        <v>7</v>
      </c>
      <c r="J21" s="402"/>
      <c r="K21" s="403"/>
      <c r="L21" s="404"/>
      <c r="P21" s="131" t="s">
        <v>37</v>
      </c>
      <c r="Q21" s="131" t="s">
        <v>22</v>
      </c>
      <c r="R21" s="131" t="s">
        <v>890</v>
      </c>
      <c r="S21" s="131" t="s">
        <v>32</v>
      </c>
    </row>
    <row r="22" spans="1:19" ht="15.75" customHeight="1">
      <c r="B22" s="401" t="s">
        <v>409</v>
      </c>
      <c r="C22" s="402">
        <v>0.28999999999999998</v>
      </c>
      <c r="D22" s="403"/>
      <c r="E22" s="404">
        <f t="shared" si="1"/>
        <v>0</v>
      </c>
      <c r="G22" s="645"/>
      <c r="I22" s="401">
        <v>8</v>
      </c>
      <c r="J22" s="402"/>
      <c r="K22" s="403"/>
      <c r="L22" s="404"/>
      <c r="P22" s="456" t="s">
        <v>65</v>
      </c>
      <c r="Q22" s="424"/>
      <c r="R22" s="425"/>
      <c r="S22" s="426"/>
    </row>
    <row r="23" spans="1:19">
      <c r="B23" s="401" t="s">
        <v>141</v>
      </c>
      <c r="C23" s="402">
        <v>0.41</v>
      </c>
      <c r="D23" s="403"/>
      <c r="E23" s="404">
        <f t="shared" si="1"/>
        <v>0</v>
      </c>
      <c r="G23" s="645"/>
      <c r="I23" s="401">
        <v>9</v>
      </c>
      <c r="J23" s="402"/>
      <c r="K23" s="403"/>
      <c r="L23" s="404"/>
      <c r="O23" s="114"/>
      <c r="P23" s="457" t="s">
        <v>405</v>
      </c>
      <c r="Q23" s="428"/>
      <c r="R23" s="409"/>
      <c r="S23" s="429"/>
    </row>
    <row r="24" spans="1:19">
      <c r="B24" s="401" t="s">
        <v>413</v>
      </c>
      <c r="C24" s="402">
        <v>0.66</v>
      </c>
      <c r="D24" s="403"/>
      <c r="E24" s="404">
        <f t="shared" si="1"/>
        <v>0</v>
      </c>
      <c r="G24" s="644"/>
      <c r="I24" s="401">
        <v>10</v>
      </c>
      <c r="J24" s="402"/>
      <c r="K24" s="403"/>
      <c r="L24" s="404"/>
      <c r="O24" s="114"/>
      <c r="P24" s="457" t="s">
        <v>426</v>
      </c>
      <c r="Q24" s="428"/>
      <c r="R24" s="409"/>
      <c r="S24" s="429"/>
    </row>
    <row r="25" spans="1:19">
      <c r="B25" s="401" t="s">
        <v>416</v>
      </c>
      <c r="C25" s="402">
        <v>0.98</v>
      </c>
      <c r="D25" s="403"/>
      <c r="E25" s="404">
        <f t="shared" si="1"/>
        <v>0</v>
      </c>
      <c r="G25" s="645"/>
      <c r="I25" s="401">
        <v>11</v>
      </c>
      <c r="J25" s="402"/>
      <c r="K25" s="403"/>
      <c r="L25" s="404"/>
      <c r="O25" s="114"/>
      <c r="P25" s="458" t="s">
        <v>895</v>
      </c>
      <c r="Q25" s="424"/>
      <c r="R25" s="425"/>
      <c r="S25" s="426"/>
    </row>
    <row r="26" spans="1:19" ht="15.75" thickBot="1">
      <c r="B26" s="401" t="s">
        <v>417</v>
      </c>
      <c r="C26" s="402">
        <v>1.4</v>
      </c>
      <c r="D26" s="403"/>
      <c r="E26" s="404">
        <f t="shared" si="1"/>
        <v>0</v>
      </c>
      <c r="G26" s="645"/>
      <c r="I26" s="405">
        <v>12</v>
      </c>
      <c r="J26" s="406"/>
      <c r="K26" s="407"/>
      <c r="L26" s="408"/>
      <c r="P26" s="457" t="s">
        <v>406</v>
      </c>
      <c r="Q26" s="424"/>
      <c r="R26" s="425"/>
      <c r="S26" s="426"/>
    </row>
    <row r="27" spans="1:19" ht="15.75" thickBot="1">
      <c r="B27" s="401"/>
      <c r="C27" s="402">
        <v>1.92</v>
      </c>
      <c r="D27" s="403"/>
      <c r="E27" s="404">
        <f t="shared" si="1"/>
        <v>0</v>
      </c>
      <c r="G27" s="645"/>
      <c r="I27" s="621" t="s">
        <v>36</v>
      </c>
      <c r="J27" s="621"/>
      <c r="K27" s="140">
        <f>SUM(K20:K26)</f>
        <v>0</v>
      </c>
      <c r="L27" s="141">
        <f>SUM(L20:L26)</f>
        <v>0</v>
      </c>
      <c r="P27" s="458" t="s">
        <v>141</v>
      </c>
      <c r="Q27" s="424"/>
      <c r="R27" s="425"/>
      <c r="S27" s="426"/>
    </row>
    <row r="28" spans="1:19" ht="15.75" thickBot="1">
      <c r="B28" s="136"/>
      <c r="C28" s="137"/>
      <c r="D28" s="138"/>
      <c r="E28" s="139"/>
      <c r="G28" s="645"/>
      <c r="P28" s="459" t="s">
        <v>416</v>
      </c>
      <c r="Q28" s="424"/>
      <c r="R28" s="425"/>
      <c r="S28" s="426"/>
    </row>
    <row r="29" spans="1:19" ht="15.75" thickBot="1">
      <c r="B29" s="621" t="s">
        <v>105</v>
      </c>
      <c r="C29" s="621"/>
      <c r="D29" s="140">
        <f>SUM(D19:D28)</f>
        <v>0</v>
      </c>
      <c r="E29" s="141">
        <f>SUM(E19:E28)</f>
        <v>0</v>
      </c>
      <c r="G29" s="645"/>
    </row>
    <row r="30" spans="1:19" ht="15.75" thickBot="1">
      <c r="B30" s="142"/>
      <c r="C30" s="142"/>
      <c r="E30" s="143"/>
      <c r="G30" s="645"/>
    </row>
    <row r="31" spans="1:19" ht="15.75" customHeight="1" thickBot="1">
      <c r="G31" s="645"/>
      <c r="O31" s="555" t="s">
        <v>421</v>
      </c>
      <c r="P31" s="614" t="s">
        <v>896</v>
      </c>
      <c r="Q31" s="615"/>
      <c r="R31" s="615"/>
      <c r="S31" s="616"/>
    </row>
    <row r="32" spans="1:19" ht="15.75" customHeight="1" thickBot="1">
      <c r="A32" s="555" t="s">
        <v>153</v>
      </c>
      <c r="B32" s="630" t="s">
        <v>897</v>
      </c>
      <c r="C32" s="631"/>
      <c r="D32" s="631"/>
      <c r="E32" s="632"/>
      <c r="G32" s="645"/>
      <c r="H32" s="555" t="s">
        <v>154</v>
      </c>
      <c r="I32" s="614" t="s">
        <v>898</v>
      </c>
      <c r="J32" s="615"/>
      <c r="K32" s="615"/>
      <c r="L32" s="616"/>
      <c r="O32" s="557"/>
      <c r="P32" s="617"/>
      <c r="Q32" s="618"/>
      <c r="R32" s="618"/>
      <c r="S32" s="619"/>
    </row>
    <row r="33" spans="1:19" ht="15.75" thickBot="1">
      <c r="A33" s="557"/>
      <c r="B33" s="633"/>
      <c r="C33" s="634"/>
      <c r="D33" s="634"/>
      <c r="E33" s="635"/>
      <c r="H33" s="557"/>
      <c r="I33" s="617"/>
      <c r="J33" s="618"/>
      <c r="K33" s="618"/>
      <c r="L33" s="619"/>
      <c r="P33" s="131" t="s">
        <v>37</v>
      </c>
      <c r="Q33" s="131" t="s">
        <v>22</v>
      </c>
      <c r="R33" s="131" t="s">
        <v>890</v>
      </c>
      <c r="S33" s="131" t="s">
        <v>32</v>
      </c>
    </row>
    <row r="34" spans="1:19" ht="15.75" thickBot="1">
      <c r="B34" s="131" t="s">
        <v>37</v>
      </c>
      <c r="C34" s="131" t="s">
        <v>22</v>
      </c>
      <c r="D34" s="131" t="s">
        <v>890</v>
      </c>
      <c r="E34" s="131" t="s">
        <v>32</v>
      </c>
      <c r="I34" s="131" t="s">
        <v>37</v>
      </c>
      <c r="J34" s="131" t="s">
        <v>22</v>
      </c>
      <c r="K34" s="131" t="s">
        <v>890</v>
      </c>
      <c r="L34" s="131" t="s">
        <v>32</v>
      </c>
      <c r="P34" s="442" t="s">
        <v>423</v>
      </c>
      <c r="Q34" s="424"/>
      <c r="R34" s="425"/>
      <c r="S34" s="426"/>
    </row>
    <row r="35" spans="1:19">
      <c r="B35" s="349"/>
      <c r="C35" s="350"/>
      <c r="D35" s="351"/>
      <c r="E35" s="352"/>
      <c r="I35" s="401" t="s">
        <v>404</v>
      </c>
      <c r="J35" s="424">
        <v>0.86</v>
      </c>
      <c r="K35" s="425"/>
      <c r="L35" s="426">
        <f>K35*J35</f>
        <v>0</v>
      </c>
      <c r="O35" s="114"/>
      <c r="P35" s="454" t="s">
        <v>425</v>
      </c>
      <c r="Q35" s="428"/>
      <c r="R35" s="409"/>
      <c r="S35" s="429"/>
    </row>
    <row r="36" spans="1:19">
      <c r="B36" s="401" t="s">
        <v>156</v>
      </c>
      <c r="C36" s="402">
        <v>0.36</v>
      </c>
      <c r="D36" s="409"/>
      <c r="E36" s="404">
        <f>C36*D36</f>
        <v>0</v>
      </c>
      <c r="I36" s="401" t="s">
        <v>164</v>
      </c>
      <c r="J36" s="428">
        <v>1.47</v>
      </c>
      <c r="K36" s="409"/>
      <c r="L36" s="429">
        <f t="shared" ref="L36:L47" si="2">K36*J36</f>
        <v>0</v>
      </c>
      <c r="O36" s="114"/>
      <c r="P36" s="428" t="s">
        <v>899</v>
      </c>
      <c r="Q36" s="428"/>
      <c r="R36" s="409"/>
      <c r="S36" s="429"/>
    </row>
    <row r="37" spans="1:19">
      <c r="B37" s="401" t="s">
        <v>407</v>
      </c>
      <c r="C37" s="402">
        <v>0.69</v>
      </c>
      <c r="D37" s="409"/>
      <c r="E37" s="404">
        <f t="shared" ref="E37:E43" si="3">C37*D37</f>
        <v>0</v>
      </c>
      <c r="I37" s="401" t="s">
        <v>25</v>
      </c>
      <c r="J37" s="428">
        <v>1.35</v>
      </c>
      <c r="K37" s="409"/>
      <c r="L37" s="429">
        <f t="shared" si="2"/>
        <v>0</v>
      </c>
      <c r="O37" s="114"/>
      <c r="P37" s="453" t="s">
        <v>427</v>
      </c>
      <c r="Q37" s="428"/>
      <c r="R37" s="409"/>
      <c r="S37" s="429"/>
    </row>
    <row r="38" spans="1:19">
      <c r="B38" s="401" t="s">
        <v>221</v>
      </c>
      <c r="C38" s="402">
        <v>1.18</v>
      </c>
      <c r="D38" s="409"/>
      <c r="E38" s="404">
        <f t="shared" si="3"/>
        <v>0</v>
      </c>
      <c r="I38" s="401" t="s">
        <v>408</v>
      </c>
      <c r="J38" s="428">
        <v>3.4</v>
      </c>
      <c r="K38" s="409"/>
      <c r="L38" s="429">
        <f t="shared" si="2"/>
        <v>0</v>
      </c>
      <c r="P38" s="428"/>
      <c r="Q38" s="428"/>
      <c r="R38" s="409"/>
      <c r="S38" s="429"/>
    </row>
    <row r="39" spans="1:19">
      <c r="B39" s="401" t="s">
        <v>411</v>
      </c>
      <c r="C39" s="402">
        <v>1.84</v>
      </c>
      <c r="D39" s="409"/>
      <c r="E39" s="404">
        <f t="shared" si="3"/>
        <v>0</v>
      </c>
      <c r="I39" s="401" t="s">
        <v>410</v>
      </c>
      <c r="J39" s="428">
        <v>4.8</v>
      </c>
      <c r="K39" s="409"/>
      <c r="L39" s="429">
        <f t="shared" si="2"/>
        <v>0</v>
      </c>
      <c r="P39" s="453"/>
      <c r="Q39" s="428"/>
      <c r="R39" s="409"/>
      <c r="S39" s="429"/>
    </row>
    <row r="40" spans="1:19">
      <c r="B40" s="401" t="s">
        <v>414</v>
      </c>
      <c r="C40" s="402">
        <v>2.72</v>
      </c>
      <c r="D40" s="409"/>
      <c r="E40" s="404">
        <f t="shared" si="3"/>
        <v>0</v>
      </c>
      <c r="I40" s="401" t="s">
        <v>412</v>
      </c>
      <c r="J40" s="428">
        <v>6.53</v>
      </c>
      <c r="K40" s="409"/>
      <c r="L40" s="429">
        <f t="shared" si="2"/>
        <v>0</v>
      </c>
      <c r="P40" s="446"/>
      <c r="Q40" s="428"/>
      <c r="R40" s="409"/>
      <c r="S40" s="429"/>
    </row>
    <row r="41" spans="1:19">
      <c r="B41" s="401" t="s">
        <v>163</v>
      </c>
      <c r="C41" s="402">
        <v>3.84</v>
      </c>
      <c r="D41" s="409"/>
      <c r="E41" s="404">
        <f t="shared" si="3"/>
        <v>0</v>
      </c>
      <c r="I41" s="401" t="s">
        <v>415</v>
      </c>
      <c r="J41" s="428">
        <v>8.64</v>
      </c>
      <c r="K41" s="409"/>
      <c r="L41" s="429">
        <f t="shared" si="2"/>
        <v>0</v>
      </c>
    </row>
    <row r="42" spans="1:19">
      <c r="B42" s="401" t="s">
        <v>165</v>
      </c>
      <c r="C42" s="402">
        <v>6.22</v>
      </c>
      <c r="D42" s="409"/>
      <c r="E42" s="404">
        <f t="shared" si="3"/>
        <v>0</v>
      </c>
      <c r="I42" s="405" t="s">
        <v>167</v>
      </c>
      <c r="J42" s="428">
        <v>11.76</v>
      </c>
      <c r="K42" s="409"/>
      <c r="L42" s="429">
        <f t="shared" si="2"/>
        <v>0</v>
      </c>
    </row>
    <row r="43" spans="1:19" ht="15.75" thickBot="1">
      <c r="B43" s="405" t="s">
        <v>167</v>
      </c>
      <c r="C43" s="406">
        <v>6.91</v>
      </c>
      <c r="D43" s="410"/>
      <c r="E43" s="404">
        <f t="shared" si="3"/>
        <v>0</v>
      </c>
      <c r="I43" s="430" t="s">
        <v>297</v>
      </c>
      <c r="J43" s="428">
        <v>14.11</v>
      </c>
      <c r="K43" s="409"/>
      <c r="L43" s="429">
        <f t="shared" si="2"/>
        <v>0</v>
      </c>
    </row>
    <row r="44" spans="1:19" ht="15.75" thickBot="1">
      <c r="B44" s="636" t="s">
        <v>153</v>
      </c>
      <c r="C44" s="637"/>
      <c r="D44" s="144">
        <f>SUM(D35:D43)</f>
        <v>0</v>
      </c>
      <c r="E44" s="145">
        <f>SUM(E35:E43)</f>
        <v>0</v>
      </c>
      <c r="I44" s="427" t="s">
        <v>298</v>
      </c>
      <c r="J44" s="428">
        <v>18.43</v>
      </c>
      <c r="K44" s="409"/>
      <c r="L44" s="429">
        <f t="shared" si="2"/>
        <v>0</v>
      </c>
    </row>
    <row r="45" spans="1:19">
      <c r="I45" s="427" t="s">
        <v>299</v>
      </c>
      <c r="J45" s="428">
        <v>25.27</v>
      </c>
      <c r="K45" s="409"/>
      <c r="L45" s="429">
        <f t="shared" si="2"/>
        <v>0</v>
      </c>
    </row>
    <row r="46" spans="1:19" ht="15.75" thickBot="1">
      <c r="I46" s="427" t="s">
        <v>300</v>
      </c>
      <c r="J46" s="428">
        <v>36</v>
      </c>
      <c r="K46" s="409"/>
      <c r="L46" s="429">
        <f t="shared" si="2"/>
        <v>0</v>
      </c>
    </row>
    <row r="47" spans="1:19" ht="15.75" thickBot="1">
      <c r="A47" s="555" t="s">
        <v>33</v>
      </c>
      <c r="B47" s="638" t="s">
        <v>900</v>
      </c>
      <c r="C47" s="639"/>
      <c r="D47" s="639"/>
      <c r="E47" s="640"/>
      <c r="I47" s="431" t="s">
        <v>303</v>
      </c>
      <c r="J47" s="432">
        <v>67.5</v>
      </c>
      <c r="K47" s="410"/>
      <c r="L47" s="433">
        <f t="shared" si="2"/>
        <v>0</v>
      </c>
    </row>
    <row r="48" spans="1:19" ht="15.75" thickBot="1">
      <c r="A48" s="557"/>
      <c r="B48" s="641"/>
      <c r="C48" s="642"/>
      <c r="D48" s="642"/>
      <c r="E48" s="643"/>
      <c r="F48" s="146"/>
      <c r="I48" s="621" t="s">
        <v>154</v>
      </c>
      <c r="J48" s="621"/>
      <c r="K48" s="158">
        <f>SUM(K35:K47)</f>
        <v>0</v>
      </c>
      <c r="L48" s="159">
        <f>SUM(L35:L47)</f>
        <v>0</v>
      </c>
      <c r="M48" s="114"/>
      <c r="N48" s="114"/>
      <c r="O48" s="114"/>
      <c r="P48" s="114"/>
    </row>
    <row r="49" spans="2:16" s="147" customFormat="1" ht="13.5" thickBot="1">
      <c r="B49" s="131" t="s">
        <v>37</v>
      </c>
      <c r="C49" s="131" t="s">
        <v>22</v>
      </c>
      <c r="D49" s="131" t="s">
        <v>890</v>
      </c>
      <c r="E49" s="131" t="s">
        <v>32</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55" t="s">
        <v>35</v>
      </c>
      <c r="I51" s="614" t="s">
        <v>901</v>
      </c>
      <c r="J51" s="615"/>
      <c r="K51" s="615"/>
      <c r="L51" s="616"/>
      <c r="M51" s="114"/>
      <c r="N51" s="114"/>
      <c r="O51" s="114"/>
      <c r="P51" s="114"/>
    </row>
    <row r="52" spans="2:16" ht="15.75" customHeight="1" thickBot="1">
      <c r="B52" s="411">
        <v>1.2</v>
      </c>
      <c r="C52" s="412">
        <v>0.01</v>
      </c>
      <c r="D52" s="414"/>
      <c r="E52" s="404">
        <f t="shared" si="4"/>
        <v>0</v>
      </c>
      <c r="F52" s="146"/>
      <c r="H52" s="557"/>
      <c r="I52" s="617"/>
      <c r="J52" s="618"/>
      <c r="K52" s="618"/>
      <c r="L52" s="619"/>
      <c r="M52" s="114"/>
      <c r="N52" s="114"/>
      <c r="O52" s="114"/>
      <c r="P52" s="114"/>
    </row>
    <row r="53" spans="2:16" ht="15.75" thickBot="1">
      <c r="B53" s="411">
        <v>1.3</v>
      </c>
      <c r="C53" s="412">
        <v>0.02</v>
      </c>
      <c r="D53" s="413"/>
      <c r="E53" s="404">
        <f t="shared" si="4"/>
        <v>0</v>
      </c>
      <c r="F53" s="146"/>
      <c r="H53" s="450"/>
      <c r="I53" s="131" t="s">
        <v>37</v>
      </c>
      <c r="J53" s="131" t="s">
        <v>22</v>
      </c>
      <c r="K53" s="131" t="s">
        <v>890</v>
      </c>
      <c r="L53" s="131" t="s">
        <v>32</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22"/>
      <c r="I61" s="624"/>
      <c r="J61" s="625"/>
      <c r="K61" s="625"/>
      <c r="L61" s="626"/>
      <c r="M61" s="114"/>
      <c r="N61" s="114"/>
      <c r="O61" s="114"/>
      <c r="P61" s="114"/>
    </row>
    <row r="62" spans="2:16" ht="15.75" thickBot="1">
      <c r="B62" s="415"/>
      <c r="C62" s="402">
        <v>0.78</v>
      </c>
      <c r="D62" s="409"/>
      <c r="E62" s="404">
        <f t="shared" si="4"/>
        <v>0</v>
      </c>
      <c r="F62" s="150"/>
      <c r="H62" s="623"/>
      <c r="I62" s="627"/>
      <c r="J62" s="628"/>
      <c r="K62" s="628"/>
      <c r="L62" s="629"/>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20" t="s">
        <v>33</v>
      </c>
      <c r="C67" s="620"/>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55"/>
      <c r="I70" s="614"/>
      <c r="J70" s="615"/>
      <c r="K70" s="615"/>
      <c r="L70" s="616"/>
    </row>
    <row r="71" spans="2:16" ht="15.75" thickBot="1">
      <c r="F71" s="156"/>
      <c r="H71" s="557"/>
      <c r="I71" s="617"/>
      <c r="J71" s="618"/>
      <c r="K71" s="618"/>
      <c r="L71" s="619"/>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55"/>
      <c r="I82" s="614"/>
      <c r="J82" s="615"/>
      <c r="K82" s="615"/>
      <c r="L82" s="616"/>
    </row>
    <row r="83" spans="6:12" ht="15.75" thickBot="1">
      <c r="F83" s="146"/>
      <c r="H83" s="557"/>
      <c r="I83" s="617"/>
      <c r="J83" s="618"/>
      <c r="K83" s="618"/>
      <c r="L83" s="619"/>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H70:H71"/>
    <mergeCell ref="I70:L71"/>
    <mergeCell ref="H82:H83"/>
    <mergeCell ref="I82:L83"/>
    <mergeCell ref="I27:J27"/>
    <mergeCell ref="H51:H52"/>
    <mergeCell ref="I51:L52"/>
    <mergeCell ref="G6:G14"/>
    <mergeCell ref="G15:G23"/>
    <mergeCell ref="G24:G32"/>
    <mergeCell ref="H2:H3"/>
    <mergeCell ref="I2:L3"/>
    <mergeCell ref="I13:J13"/>
    <mergeCell ref="H16:H17"/>
    <mergeCell ref="I16:L17"/>
    <mergeCell ref="A2:A3"/>
    <mergeCell ref="B2:E3"/>
    <mergeCell ref="B13:C13"/>
    <mergeCell ref="A16:A17"/>
    <mergeCell ref="B16:E17"/>
    <mergeCell ref="B29:C29"/>
    <mergeCell ref="A32:A33"/>
    <mergeCell ref="B32:E33"/>
    <mergeCell ref="B44:C44"/>
    <mergeCell ref="A47:A48"/>
    <mergeCell ref="B47:E48"/>
    <mergeCell ref="B67:C67"/>
    <mergeCell ref="H32:H33"/>
    <mergeCell ref="I32:L33"/>
    <mergeCell ref="I48:J48"/>
    <mergeCell ref="H61:H62"/>
    <mergeCell ref="I61:L62"/>
    <mergeCell ref="O31:O32"/>
    <mergeCell ref="P31:S32"/>
    <mergeCell ref="O2:O3"/>
    <mergeCell ref="P2:S3"/>
    <mergeCell ref="O11:O12"/>
    <mergeCell ref="P11:S12"/>
    <mergeCell ref="O19:O20"/>
    <mergeCell ref="P19:S20"/>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2CAE96-045B-4ACF-9AC7-E2800DB650D9}"/>
</file>

<file path=customXml/itemProps2.xml><?xml version="1.0" encoding="utf-8"?>
<ds:datastoreItem xmlns:ds="http://schemas.openxmlformats.org/officeDocument/2006/customXml" ds:itemID="{D9FF889E-FDAA-485E-9C71-FB899F4E0FDE}"/>
</file>

<file path=customXml/itemProps3.xml><?xml version="1.0" encoding="utf-8"?>
<ds:datastoreItem xmlns:ds="http://schemas.openxmlformats.org/officeDocument/2006/customXml" ds:itemID="{EE91FC7A-7F16-48E7-8E92-6A48A6C1647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Dhanashri Jagdale</cp:lastModifiedBy>
  <cp:revision/>
  <dcterms:created xsi:type="dcterms:W3CDTF">2018-04-24T06:36:29Z</dcterms:created>
  <dcterms:modified xsi:type="dcterms:W3CDTF">2025-12-01T09:58:07Z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